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7c1516b76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" sheetId="1" r:id="R0ac3e104fdd3472d"/>
    <x:sheet xmlns:r="http://schemas.openxmlformats.org/officeDocument/2006/relationships" name="Example" sheetId="2" r:id="Rf406422c6b01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0.00"/>
    <x:numFmt numFmtId="202" formatCode="0.0%"/>
  </x:numFmts>
  <x:fonts count="8">
    <x:font>
      <x:sz val="11"/>
      <x:name val="Carlito"/>
    </x:font>
    <x:font>
      <x:sz val="11"/>
      <x:color rgb="FF18352D"/>
      <x:name val="Arial"/>
    </x:font>
    <x:font>
      <x:b/>
      <x:sz val="16"/>
      <x:color rgb="FF18352D"/>
      <x:name val="Arial"/>
    </x:font>
    <x:font>
      <x:i/>
      <x:sz val="10"/>
      <x:color rgb="FF18352D"/>
      <x:name val="Arial"/>
    </x:font>
    <x:font>
      <x:b/>
      <x:sz val="11"/>
      <x:color rgb="FFFFFFFF"/>
      <x:name val="Arial"/>
    </x:font>
    <x:font>
      <x:b/>
      <x:sz val="11"/>
      <x:color rgb="FF18352D"/>
      <x:name val="Arial"/>
    </x:font>
    <x:font>
      <x:sz val="11"/>
      <x:color rgb="FF1560A8"/>
      <x:name val="Arial"/>
    </x:font>
    <x:font>
      <x:sz val="10"/>
      <x:color rgb="FF53675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52D"/>
      </x:patternFill>
    </x:fill>
    <x:fill>
      <x:patternFill patternType="solid">
        <x:fgColor rgb="FFEAF2EE"/>
      </x:patternFill>
    </x:fill>
    <x:fill>
      <x:patternFill patternType="solid">
        <x:fgColor rgb="FFFFF5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202" fontId="6" fillId="4" borderId="0" xfId="0" applyNumberFormat="1" applyFont="1" applyFill="1" applyBorder="1"/>
    <x:xf numFmtId="202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B2020"/>
      </x:font>
      <x:fill>
        <x:patternFill patternType="solid">
          <x:bgColor rgb="FFFDE8E8"/>
        </x:patternFill>
      </x:fill>
    </x:dxf>
    <x:dxf>
      <x:font>
        <x:color rgb="FF9B2020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8ae08195c40cb" /><Relationship Type="http://schemas.openxmlformats.org/officeDocument/2006/relationships/theme" Target="/xl/theme/theme1.xml" Id="R3a4ac9871de044c4" /><Relationship Type="http://schemas.openxmlformats.org/officeDocument/2006/relationships/sharedStrings" Target="/xl/sharedStrings.xml" Id="Rfa4740dfaa464985" /><Relationship Type="http://schemas.openxmlformats.org/officeDocument/2006/relationships/worksheet" Target="/xl/worksheets/sheet1.xml" Id="R0ac3e104fdd3472d" /><Relationship Type="http://schemas.openxmlformats.org/officeDocument/2006/relationships/worksheet" Target="/xl/worksheets/sheet2.xml" Id="Rf406422c6b014f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1"/>
      <x:c r="B1" s="1"/>
      <x:c r="C1" s="1"/>
      <x:c r="D1" s="1"/>
    </x:row>
    <x:row r="2" ht="25" customHeight="1">
      <x:c r="A2" s="2" t="str">
        <x:v>Cleaning job cost</x:v>
      </x:c>
      <x:c r="B2" s="1"/>
      <x:c r="C2" s="1"/>
      <x:c r="D2" s="1"/>
    </x:row>
    <x:row r="3" ht="31" customHeight="1">
      <x:c r="A3" s="3" t="str">
        <x:v>Enter first-visit actuals; add adjustments below</x:v>
      </x:c>
      <x:c r="B3" s="1"/>
      <x:c r="C3" s="1"/>
      <x:c r="D3" s="1"/>
    </x:row>
    <x:row r="4" ht="30" customHeight="1">
      <x:c r="A4" s="5" t="str">
        <x:v>Result</x:v>
      </x:c>
      <x:c r="B4" s="5" t="str">
        <x:v>Estimate</x:v>
      </x:c>
      <x:c r="C4" s="5" t="str">
        <x:v>Actual</x:v>
      </x:c>
      <x:c r="D4" s="5" t="str">
        <x:v>Actual minus estimate</x:v>
      </x:c>
    </x:row>
    <x:row r="5" ht="48" customHeight="1">
      <x:c r="A5" s="15" t="str">
        <x:v>Contribution before monthly overhead</x:v>
      </x:c>
      <x:c r="B5" s="16" t="str">
        <x:f>B26</x:f>
        <x:v>Enter all inputs</x:v>
      </x:c>
      <x:c r="C5" s="16" t="str">
        <x:f>C51</x:f>
        <x:v>Complete actual and adjustments</x:v>
      </x:c>
      <x:c r="D5" s="16" t="str">
        <x:f>IF(AND(ISNUMBER(B5),ISNUMBER(C5)),C5-B5,"Complete both columns")</x:f>
        <x:v>Complete both columns</x:v>
      </x:c>
    </x:row>
    <x:row r="6" ht="25" customHeight="1">
      <x:c r="A6" s="1"/>
      <x:c r="B6" s="1"/>
      <x:c r="C6" s="1"/>
      <x:c r="D6" s="1"/>
    </x:row>
    <x:row r="7" ht="25" customHeight="1">
      <x:c r="A7" s="1" t="str">
        <x:v>Actual result includes adjustments below; costs entered once.</x:v>
      </x:c>
      <x:c r="B7" s="1"/>
      <x:c r="C7" s="1"/>
      <x:c r="D7" s="1"/>
    </x:row>
    <x:row r="8" ht="25" customHeight="1">
      <x:c r="A8" s="1" t="str">
        <x:v>Job reference</x:v>
      </x:c>
      <x:c r="B8" s="10"/>
      <x:c r="C8" s="1"/>
      <x:c r="D8" s="1"/>
    </x:row>
    <x:row r="9" ht="25" customHeight="1">
      <x:c r="A9" s="1" t="str">
        <x:v>Currency label</x:v>
      </x:c>
      <x:c r="B9" s="10"/>
      <x:c r="C9" s="1"/>
      <x:c r="D9" s="1"/>
    </x:row>
    <x:row r="10" ht="25" customHeight="1">
      <x:c r="A10" s="1"/>
      <x:c r="B10" s="1"/>
      <x:c r="C10" s="1"/>
      <x:c r="D10" s="1"/>
    </x:row>
    <x:row r="11" ht="30" customHeight="1">
      <x:c r="A11" s="8" t="str">
        <x:v>Input (same currency in both columns)</x:v>
      </x:c>
      <x:c r="B11" s="8" t="str">
        <x:v>Estimate</x:v>
      </x:c>
      <x:c r="C11" s="8" t="str">
        <x:v>Actual</x:v>
      </x:c>
      <x:c r="D11" s="1"/>
    </x:row>
    <x:row r="12" ht="25" customHeight="1">
      <x:c r="A12" s="1" t="str">
        <x:v>Revenue</x:v>
      </x:c>
      <x:c r="B12" s="11"/>
      <x:c r="C12" s="11"/>
      <x:c r="D12" s="1"/>
    </x:row>
    <x:row r="13" ht="25" customHeight="1">
      <x:c r="A13" s="1" t="str">
        <x:v>Total paid crew-hours</x:v>
      </x:c>
      <x:c r="B13" s="11"/>
      <x:c r="C13" s="11"/>
      <x:c r="D13" s="1"/>
    </x:row>
    <x:row r="14" ht="25" customHeight="1">
      <x:c r="A14" s="1" t="str">
        <x:v>Loaded cost per crew-hour</x:v>
      </x:c>
      <x:c r="B14" s="11"/>
      <x:c r="C14" s="11"/>
      <x:c r="D14" s="1"/>
    </x:row>
    <x:row r="15" ht="25" customHeight="1">
      <x:c r="A15" s="1" t="str">
        <x:v>Supplies</x:v>
      </x:c>
      <x:c r="B15" s="11"/>
      <x:c r="C15" s="11"/>
      <x:c r="D15" s="1"/>
    </x:row>
    <x:row r="16" ht="25" customHeight="1">
      <x:c r="A16" s="1" t="str">
        <x:v>Travel cost</x:v>
      </x:c>
      <x:c r="B16" s="11"/>
      <x:c r="C16" s="11"/>
      <x:c r="D16" s="1"/>
    </x:row>
    <x:row r="17" ht="25" customHeight="1">
      <x:c r="A17" s="1" t="str">
        <x:v>Other direct costs</x:v>
      </x:c>
      <x:c r="B17" s="11"/>
      <x:c r="C17" s="11"/>
      <x:c r="D17" s="1"/>
    </x:row>
    <x:row r="18" ht="25" customHeight="1">
      <x:c r="A18" s="1" t="str">
        <x:v>Payment fee rate</x:v>
      </x:c>
      <x:c r="B18" s="12"/>
      <x:c r="C18" s="12"/>
      <x:c r="D18" s="1"/>
    </x:row>
    <x:row r="19" ht="25" customHeight="1">
      <x:c r="A19" s="1"/>
      <x:c r="B19" s="1"/>
      <x:c r="C19" s="1"/>
      <x:c r="D19" s="1"/>
    </x:row>
    <x:row r="20" ht="25" customHeight="1">
      <x:c r="A20" s="1" t="str">
        <x:v>Blank inputs are missing, not zero. Fee rate: enter 3%.</x:v>
      </x:c>
      <x:c r="B20" s="1"/>
      <x:c r="C20" s="1"/>
      <x:c r="D20" s="1"/>
    </x:row>
    <x:row r="21" ht="30" customHeight="1">
      <x:c r="A21" s="8" t="str">
        <x:v>Calculation</x:v>
      </x:c>
      <x:c r="B21" s="8" t="str">
        <x:v>Estimate</x:v>
      </x:c>
      <x:c r="C21" s="8" t="str">
        <x:v>Actual</x:v>
      </x:c>
      <x:c r="D21" s="1"/>
    </x:row>
    <x:row r="22" ht="25" customHeight="1">
      <x:c r="A22" s="1" t="str">
        <x:v>Labor cost</x:v>
      </x:c>
      <x:c r="B22" s="6" t="str">
        <x:f>IF(COUNT(B12:B18)=7,B13*B14,"Enter all inputs")</x:f>
        <x:v>Enter all inputs</x:v>
      </x:c>
      <x:c r="C22" s="6" t="str">
        <x:f>IF(COUNT(C12:C18)=7,C13*C14,"Enter all inputs")</x:f>
        <x:v>Enter all inputs</x:v>
      </x:c>
      <x:c r="D22" s="1"/>
    </x:row>
    <x:row r="23" ht="25" customHeight="1">
      <x:c r="A23" s="1" t="str">
        <x:v>Payment fees</x:v>
      </x:c>
      <x:c r="B23" s="6" t="str">
        <x:f>IF(COUNT(B12:B18)=7,B12*B18,"Enter all inputs")</x:f>
        <x:v>Enter all inputs</x:v>
      </x:c>
      <x:c r="C23" s="6" t="str">
        <x:f>IF(COUNT(C12:C18)=7,IF(ISNUMBER(C43),C43,C12*C18),"Enter all inputs")</x:f>
        <x:v>Enter all inputs</x:v>
      </x:c>
      <x:c r="D23" s="1"/>
    </x:row>
    <x:row r="24" ht="25" customHeight="1">
      <x:c r="A24" s="1" t="str">
        <x:v>Total entered direct costs</x:v>
      </x:c>
      <x:c r="B24" s="6" t="str">
        <x:f>IF(COUNT(B12:B18)=7,SUM(B22:B23,B15:B17),"Enter all inputs")</x:f>
        <x:v>Enter all inputs</x:v>
      </x:c>
      <x:c r="C24" s="6" t="str">
        <x:f>IF(COUNT(C12:C18)=7,SUM(C22:C23,C15:C17),"Enter all inputs")</x:f>
        <x:v>Enter all inputs</x:v>
      </x:c>
      <x:c r="D24" s="1"/>
    </x:row>
    <x:row r="25" ht="25" customHeight="1">
      <x:c r="A25" s="1"/>
      <x:c r="B25" s="6"/>
      <x:c r="C25" s="6"/>
      <x:c r="D25" s="1"/>
    </x:row>
    <x:row r="26" ht="25" customHeight="1">
      <x:c r="A26" s="1" t="str">
        <x:v>Contribution before monthly overhead</x:v>
      </x:c>
      <x:c r="B26" s="6" t="str">
        <x:f>IF(COUNT(B12:B18)=7,B12-B24,"Enter all inputs")</x:f>
        <x:v>Enter all inputs</x:v>
      </x:c>
      <x:c r="C26" s="6" t="str">
        <x:f>IF(COUNT(C12:C18)=7,C12-C24,"Enter all inputs")</x:f>
        <x:v>Enter all inputs</x:v>
      </x:c>
      <x:c r="D26" s="1"/>
    </x:row>
    <x:row r="27" ht="25" customHeight="1">
      <x:c r="A27" s="1" t="str">
        <x:v>Contribution / revenue</x:v>
      </x:c>
      <x:c r="B27" s="13" t="str">
        <x:f>IF(COUNT(B12:B18)=7,IF(B12=0,"n.a.",B26/B12),"Enter all inputs")</x:f>
        <x:v>Enter all inputs</x:v>
      </x:c>
      <x:c r="C27" s="13" t="str">
        <x:f>IF(COUNT(C12:C18)=7,IF(C12=0,"n.a.",C26/C12),"Enter all inputs")</x:f>
        <x:v>Enter all inputs</x:v>
      </x:c>
      <x:c r="D27" s="1"/>
    </x:row>
    <x:row r="28" ht="25" customHeight="1">
      <x:c r="A28" s="1"/>
      <x:c r="B28" s="1"/>
      <x:c r="C28" s="1"/>
      <x:c r="D28" s="1"/>
    </x:row>
    <x:row r="29" ht="23" customHeight="1">
      <x:c r="A29" s="14" t="str">
        <x:v>Crew-hours = all workers multiplied by paid time.</x:v>
      </x:c>
      <x:c r="B29" s="14"/>
      <x:c r="C29" s="14"/>
      <x:c r="D29" s="14"/>
    </x:row>
    <x:row r="30" ht="23" customHeight="1">
      <x:c r="A30" s="14" t="str">
        <x:v>Use loaded labor cost; include owner delivery time consistently.</x:v>
      </x:c>
      <x:c r="B30" s="14"/>
      <x:c r="C30" s="14"/>
      <x:c r="D30" s="14"/>
    </x:row>
    <x:row r="31" ht="23" customHeight="1">
      <x:c r="A31" s="14" t="str">
        <x:v>Contribution still funds overhead, owner pay and profit goals.</x:v>
      </x:c>
      <x:c r="B31" s="14"/>
      <x:c r="C31" s="14"/>
      <x:c r="D31" s="14"/>
    </x:row>
    <x:row r="32" ht="23" customHeight="1">
      <x:c r="A32" s="14" t="str">
        <x:v>Currency is a label; no exchange-rate conversion.</x:v>
      </x:c>
      <x:c r="B32" s="14"/>
      <x:c r="C32" s="14"/>
      <x:c r="D32" s="14"/>
    </x:row>
    <x:row r="33" ht="23" customHeight="1">
      <x:c r="A33" s="14" t="str">
        <x:v>Guide: https://mybreakeven.com/resources/cleaning-job-cost-worksheet/</x:v>
      </x:c>
      <x:c r="B33" s="14"/>
      <x:c r="C33" s="14"/>
      <x:c r="D33" s="14"/>
    </x:row>
    <x:row r="34" ht="23" customHeight="1">
      <x:c r="A34" s="14" t="str">
        <x:v>Example source: MyBreakeven illustrative assumptions, October 14, 2026.</x:v>
      </x:c>
      <x:c r="B34" s="14"/>
      <x:c r="C34" s="14"/>
      <x:c r="D34" s="14"/>
    </x:row>
    <x:row r="36" ht="30" customHeight="1">
      <x:c r="A36" s="8" t="str">
        <x:v>Additional actual job entries</x:v>
      </x:c>
      <x:c r="B36" s="8"/>
      <x:c r="C36" s="8"/>
      <x:c r="D36" s="1"/>
    </x:row>
    <x:row r="37" ht="25" customHeight="1">
      <x:c r="A37" s="1" t="str">
        <x:v>Callback paid crew-hours</x:v>
      </x:c>
      <x:c r="B37" s="1"/>
      <x:c r="C37" s="11" t="n">
        <x:v>0</x:v>
      </x:c>
      <x:c r="D37" s="1"/>
    </x:row>
    <x:row r="38" ht="25" customHeight="1">
      <x:c r="A38" s="1" t="str">
        <x:v>Callback loaded cost per crew-hour</x:v>
      </x:c>
      <x:c r="B38" s="1"/>
      <x:c r="C38" s="11" t="n">
        <x:v>0</x:v>
      </x:c>
      <x:c r="D38" s="1"/>
    </x:row>
    <x:row r="39" ht="25" customHeight="1">
      <x:c r="A39" s="1" t="str">
        <x:v>Callback supplies</x:v>
      </x:c>
      <x:c r="B39" s="1"/>
      <x:c r="C39" s="11" t="n">
        <x:v>0</x:v>
      </x:c>
      <x:c r="D39" s="1"/>
    </x:row>
    <x:row r="40" ht="25" customHeight="1">
      <x:c r="A40" s="1" t="str">
        <x:v>Callback travel</x:v>
      </x:c>
      <x:c r="B40" s="1"/>
      <x:c r="C40" s="11" t="n">
        <x:v>0</x:v>
      </x:c>
      <x:c r="D40" s="1"/>
    </x:row>
    <x:row r="41" ht="25" customHeight="1">
      <x:c r="A41" s="1" t="str">
        <x:v>Callback other direct costs</x:v>
      </x:c>
      <x:c r="B41" s="1"/>
      <x:c r="C41" s="11" t="n">
        <x:v>0</x:v>
      </x:c>
      <x:c r="D41" s="1"/>
    </x:row>
    <x:row r="42" ht="25" customHeight="1">
      <x:c r="A42" s="1" t="str">
        <x:v>Customer credit / revenue reduction</x:v>
      </x:c>
      <x:c r="B42" s="1"/>
      <x:c r="C42" s="11" t="n">
        <x:v>0</x:v>
      </x:c>
      <x:c r="D42" s="1"/>
    </x:row>
    <x:row r="43" ht="25" customHeight="1">
      <x:c r="A43" s="1" t="str">
        <x:v>Actual payment fees (optional override)</x:v>
      </x:c>
      <x:c r="B43" s="1"/>
      <x:c r="C43" s="11"/>
      <x:c r="D43" s="1"/>
    </x:row>
    <x:row r="44" ht="25" customHeight="1">
      <x:c r="A44" s="1" t="str">
        <x:v>Extra work revenue</x:v>
      </x:c>
      <x:c r="B44" s="1"/>
      <x:c r="C44" s="11" t="n">
        <x:v>0</x:v>
      </x:c>
      <x:c r="D44" s="1"/>
    </x:row>
    <x:row r="45" ht="25" customHeight="1">
      <x:c r="A45" s="1" t="str">
        <x:v>Extra work variable costs</x:v>
      </x:c>
      <x:c r="B45" s="1"/>
      <x:c r="C45" s="11" t="n">
        <x:v>0</x:v>
      </x:c>
      <x:c r="D45" s="1"/>
    </x:row>
    <x:row r="46" ht="25" customHeight="1">
      <x:c r="A46" s="1"/>
      <x:c r="B46" s="1"/>
      <x:c r="C46" s="1"/>
      <x:c r="D46" s="1"/>
    </x:row>
    <x:row r="47" ht="30" customHeight="1">
      <x:c r="A47" s="8" t="str">
        <x:v>Final job result</x:v>
      </x:c>
      <x:c r="B47" s="8"/>
      <x:c r="C47" s="8"/>
      <x:c r="D47" s="1"/>
    </x:row>
    <x:row r="48" ht="25" customHeight="1">
      <x:c r="A48" s="1" t="str">
        <x:v>Callback cost</x:v>
      </x:c>
      <x:c r="B48" s="1"/>
      <x:c r="C48" s="6" t="n">
        <x:f>IF(COUNT(C37:C42,C44:C45)=8,C37*C38+SUM(C39:C41),"Enter every adjustment")</x:f>
        <x:v>0</x:v>
      </x:c>
      <x:c r="D48" s="1"/>
    </x:row>
    <x:row r="49" ht="25" customHeight="1">
      <x:c r="A49" s="1" t="str">
        <x:v>Final retained revenue</x:v>
      </x:c>
      <x:c r="B49" s="1"/>
      <x:c r="C49" s="6" t="str">
        <x:f>IF(AND(ISNUMBER(C26),ISNUMBER(C48)),C12-C42+C44,"Complete actual and adjustments")</x:f>
        <x:v>Complete actual and adjustments</x:v>
      </x:c>
      <x:c r="D49" s="1"/>
    </x:row>
    <x:row r="50" ht="25" customHeight="1">
      <x:c r="A50" s="1" t="str">
        <x:v>Total variable costs incl. adjustments</x:v>
      </x:c>
      <x:c r="B50" s="1"/>
      <x:c r="C50" s="6" t="str">
        <x:f>IF(AND(ISNUMBER(C24),ISNUMBER(C48)),C24+C48+C45,"Complete actual and adjustments")</x:f>
        <x:v>Complete actual and adjustments</x:v>
      </x:c>
      <x:c r="D50" s="1"/>
    </x:row>
    <x:row r="51" ht="25" customHeight="1">
      <x:c r="A51" s="1" t="str">
        <x:v>Final contribution before overhead</x:v>
      </x:c>
      <x:c r="B51" s="1"/>
      <x:c r="C51" s="17" t="str">
        <x:f>IF(AND(ISNUMBER(C49),ISNUMBER(C50)),C49-C50,"Complete actual and adjustments")</x:f>
        <x:v>Complete actual and adjustments</x:v>
      </x:c>
      <x:c r="D51" s="1"/>
    </x:row>
    <x:row r="52" ht="25" customHeight="1">
      <x:c r="A52" s="1" t="str">
        <x:v>Contribution / retained revenue</x:v>
      </x:c>
      <x:c r="B52" s="1"/>
      <x:c r="C52" s="18" t="str">
        <x:f>IF(AND(ISNUMBER(C51),ISNUMBER(C49)),IF(C49=0,"n.a.",C51/C49),"Complete actual and adjustments")</x:f>
        <x:v>Complete actual and adjustments</x:v>
      </x:c>
      <x:c r="D52" s="1"/>
    </x:row>
    <x:row r="53" ht="25" customHeight="1">
      <x:c r="A53" s="1" t="str">
        <x:v>Final actual minus estimate</x:v>
      </x:c>
      <x:c r="B53" s="1"/>
      <x:c r="C53" s="17" t="str">
        <x:f>IF(AND(ISNUMBER(B26),ISNUMBER(C51)),C51-B26,"Complete both columns")</x:f>
        <x:v>Complete both columns</x:v>
      </x:c>
      <x:c r="D53" s="1"/>
    </x:row>
    <x:row r="54" ht="25" customHeight="1">
      <x:c r="A54" s="1"/>
      <x:c r="B54" s="1"/>
      <x:c r="C54" s="1"/>
      <x:c r="D54" s="1"/>
    </x:row>
    <x:row r="55" ht="25" customHeight="1">
      <x:c r="A55" s="1"/>
      <x:c r="B55" s="1"/>
      <x:c r="C55" s="1"/>
      <x:c r="D55" s="1"/>
    </x:row>
    <x:row r="56" ht="25" customHeight="1">
      <x:c r="A56" s="1"/>
      <x:c r="B56" s="1"/>
      <x:c r="C56" s="1"/>
      <x:c r="D56" s="1"/>
    </x:row>
    <x:row r="57" ht="30" customHeight="1">
      <x:c r="A57" s="8" t="str">
        <x:v>Contribution change by driver</x:v>
      </x:c>
      <x:c r="B57" s="8"/>
      <x:c r="C57" s="8"/>
      <x:c r="D57" s="1"/>
    </x:row>
    <x:row r="58" ht="25" customHeight="1">
      <x:c r="A58" s="1" t="str">
        <x:v>First-visit revenue</x:v>
      </x:c>
      <x:c r="B58" s="1"/>
      <x:c r="C58" s="6" t="str">
        <x:f>IF(AND(ISNUMBER(B26),ISNUMBER(C51)),C12-B12,"Complete both columns")</x:f>
        <x:v>Complete both columns</x:v>
      </x:c>
      <x:c r="D58" s="1"/>
    </x:row>
    <x:row r="59" ht="25" customHeight="1">
      <x:c r="A59" s="1" t="str">
        <x:v>First-visit labour</x:v>
      </x:c>
      <x:c r="B59" s="1"/>
      <x:c r="C59" s="6" t="str">
        <x:f>IF(AND(ISNUMBER(B26),ISNUMBER(C51)),B22-C22,"Complete both columns")</x:f>
        <x:v>Complete both columns</x:v>
      </x:c>
      <x:c r="D59" s="1"/>
    </x:row>
    <x:row r="60" ht="25" customHeight="1">
      <x:c r="A60" s="1" t="str">
        <x:v>First-visit supplies</x:v>
      </x:c>
      <x:c r="B60" s="1"/>
      <x:c r="C60" s="6" t="str">
        <x:f>IF(AND(ISNUMBER(B26),ISNUMBER(C51)),B15-C15,"Complete both columns")</x:f>
        <x:v>Complete both columns</x:v>
      </x:c>
      <x:c r="D60" s="1"/>
    </x:row>
    <x:row r="61" ht="25" customHeight="1">
      <x:c r="A61" s="1" t="str">
        <x:v>First-visit travel</x:v>
      </x:c>
      <x:c r="B61" s="1"/>
      <x:c r="C61" s="6" t="str">
        <x:f>IF(AND(ISNUMBER(B26),ISNUMBER(C51)),B16-C16,"Complete both columns")</x:f>
        <x:v>Complete both columns</x:v>
      </x:c>
      <x:c r="D61" s="1"/>
    </x:row>
    <x:row r="62" ht="25" customHeight="1">
      <x:c r="A62" s="1" t="str">
        <x:v>First-visit other direct costs</x:v>
      </x:c>
      <x:c r="B62" s="1"/>
      <x:c r="C62" s="6" t="str">
        <x:f>IF(AND(ISNUMBER(B26),ISNUMBER(C51)),B17-C17,"Complete both columns")</x:f>
        <x:v>Complete both columns</x:v>
      </x:c>
      <x:c r="D62" s="1"/>
    </x:row>
    <x:row r="63" ht="25" customHeight="1">
      <x:c r="A63" s="1" t="str">
        <x:v>Payment fees</x:v>
      </x:c>
      <x:c r="B63" s="1"/>
      <x:c r="C63" s="6" t="str">
        <x:f>IF(AND(ISNUMBER(B26),ISNUMBER(C51)),B23-C23,"Complete both columns")</x:f>
        <x:v>Complete both columns</x:v>
      </x:c>
      <x:c r="D63" s="1"/>
    </x:row>
    <x:row r="64" ht="25" customHeight="1">
      <x:c r="A64" s="1" t="str">
        <x:v>Callback</x:v>
      </x:c>
      <x:c r="B64" s="1"/>
      <x:c r="C64" s="6" t="str">
        <x:f>IF(AND(ISNUMBER(B26),ISNUMBER(C51)),-C48,"Complete both columns")</x:f>
        <x:v>Complete both columns</x:v>
      </x:c>
      <x:c r="D64" s="1"/>
    </x:row>
    <x:row r="65" ht="25" customHeight="1">
      <x:c r="A65" s="1" t="str">
        <x:v>Customer credit</x:v>
      </x:c>
      <x:c r="B65" s="1"/>
      <x:c r="C65" s="6" t="str">
        <x:f>IF(AND(ISNUMBER(B26),ISNUMBER(C51)),-C42,"Complete both columns")</x:f>
        <x:v>Complete both columns</x:v>
      </x:c>
      <x:c r="D65" s="1"/>
    </x:row>
    <x:row r="66" ht="25" customHeight="1">
      <x:c r="A66" s="1" t="str">
        <x:v>Extra work net contribution</x:v>
      </x:c>
      <x:c r="B66" s="1"/>
      <x:c r="C66" s="6" t="str">
        <x:f>IF(AND(ISNUMBER(B26),ISNUMBER(C51)),C44-C45,"Complete both columns")</x:f>
        <x:v>Complete both columns</x:v>
      </x:c>
      <x:c r="D66" s="1"/>
    </x:row>
    <x:row r="67" ht="25" customHeight="1">
      <x:c r="A67" s="1" t="str">
        <x:v>Total contribution change</x:v>
      </x:c>
      <x:c r="B67" s="1"/>
      <x:c r="C67" s="6" t="str">
        <x:f>IF(COUNT(C58:C66)=9,SUM(C58:C66),"Complete both columns")</x:f>
        <x:v>Complete both columns</x:v>
      </x:c>
      <x:c r="D67" s="1"/>
    </x:row>
    <x:row r="68" ht="48" customHeight="1">
      <x:c r="A68" s="19" t="str">
        <x:v>Enter callback and extra costs only when absent from first-visit actuals. Credit reduces revenue once.</x:v>
      </x:c>
      <x:c r="B68" s="1"/>
      <x:c r="C68" s="1"/>
      <x:c r="D68" s="1"/>
    </x:row>
    <x:row r="69" ht="48" customHeight="1">
      <x:c r="A69" s="19" t="str">
        <x:v>Blank fee override uses first-visit revenue × rate. Include extra-work fees once in override or extra costs.</x:v>
      </x:c>
      <x:c r="B69" s="1"/>
      <x:c r="C69" s="1"/>
      <x:c r="D69" s="1"/>
    </x:row>
    <x:row r="70" ht="48" customHeight="1">
      <x:c r="A70" s="19" t="str">
        <x:v>All figures use one currency. Contribution excludes fixed overhead. Example is fictional.</x:v>
      </x:c>
      <x:c r="B70" s="1"/>
      <x:c r="C70" s="1"/>
      <x:c r="D70" s="1"/>
    </x:row>
  </x:sheetData>
  <x:conditionalFormatting sqref="D5:D5">
    <x:cfRule type="cellIs" dxfId="0" priority="1" operator="lessThan">
      <x:formula>0</x:formula>
    </x:cfRule>
  </x:conditionalFormatting>
  <x:dataValidations count="3">
    <x:dataValidation type="decimal" operator="between" sqref="B12:C17">
      <x:formula1>0</x:formula1>
      <x:formula2>1000000000</x:formula2>
    </x:dataValidation>
    <x:dataValidation type="decimal" operator="between" sqref="B18:C18">
      <x:formula1>0</x:formula1>
      <x:formula2>1</x:formula2>
    </x:dataValidation>
    <x:dataValidation type="decimal" operator="between" sqref="C37:C45">
      <x:formula1>0</x:formula1>
      <x:formula2>1000000000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1"/>
      <x:c r="B1" s="1"/>
      <x:c r="C1" s="1"/>
      <x:c r="D1" s="1"/>
    </x:row>
    <x:row r="2" ht="25" customHeight="1">
      <x:c r="A2" s="2" t="str">
        <x:v>Cleaning job cost</x:v>
      </x:c>
      <x:c r="B2" s="1"/>
      <x:c r="C2" s="1"/>
      <x:c r="D2" s="1"/>
    </x:row>
    <x:row r="3" ht="31" customHeight="1">
      <x:c r="A3" s="3" t="str">
        <x:v>Fictional USD job including callback and credit</x:v>
      </x:c>
      <x:c r="B3" s="1"/>
      <x:c r="C3" s="1"/>
      <x:c r="D3" s="1"/>
    </x:row>
    <x:row r="4" ht="30" customHeight="1">
      <x:c r="A4" s="5" t="str">
        <x:v>Result</x:v>
      </x:c>
      <x:c r="B4" s="5" t="str">
        <x:v>Estimate</x:v>
      </x:c>
      <x:c r="C4" s="5" t="str">
        <x:v>Actual</x:v>
      </x:c>
      <x:c r="D4" s="5" t="str">
        <x:v>Actual minus estimate</x:v>
      </x:c>
    </x:row>
    <x:row r="5" ht="48" customHeight="1">
      <x:c r="A5" s="15" t="str">
        <x:v>Contribution before monthly overhead</x:v>
      </x:c>
      <x:c r="B5" s="16" t="n">
        <x:f>B26</x:f>
        <x:v>110.80000000000001</x:v>
      </x:c>
      <x:c r="C5" s="16" t="n">
        <x:f>C51</x:f>
        <x:v>21.80000000000001</x:v>
      </x:c>
      <x:c r="D5" s="16" t="n">
        <x:f>IF(AND(ISNUMBER(B5),ISNUMBER(C5)),C5-B5,"Complete both columns")</x:f>
        <x:v>-89</x:v>
      </x:c>
    </x:row>
    <x:row r="6" ht="25" customHeight="1">
      <x:c r="A6" s="1"/>
      <x:c r="B6" s="1"/>
      <x:c r="C6" s="1"/>
      <x:c r="D6" s="1"/>
    </x:row>
    <x:row r="7" ht="25" customHeight="1">
      <x:c r="A7" s="1" t="str">
        <x:v>Actual result includes adjustments below; costs entered once.</x:v>
      </x:c>
      <x:c r="B7" s="1"/>
      <x:c r="C7" s="1"/>
      <x:c r="D7" s="1"/>
    </x:row>
    <x:row r="8" ht="25" customHeight="1">
      <x:c r="A8" s="1" t="str">
        <x:v>Job reference</x:v>
      </x:c>
      <x:c r="B8" s="10" t="str">
        <x:v>Illustrative job</x:v>
      </x:c>
      <x:c r="C8" s="1"/>
      <x:c r="D8" s="1"/>
    </x:row>
    <x:row r="9" ht="25" customHeight="1">
      <x:c r="A9" s="1" t="str">
        <x:v>Currency label</x:v>
      </x:c>
      <x:c r="B9" s="10" t="str">
        <x:v>USD</x:v>
      </x:c>
      <x:c r="C9" s="1"/>
      <x:c r="D9" s="1"/>
    </x:row>
    <x:row r="10" ht="25" customHeight="1">
      <x:c r="A10" s="1"/>
      <x:c r="B10" s="1"/>
      <x:c r="C10" s="1"/>
      <x:c r="D10" s="1"/>
    </x:row>
    <x:row r="11" ht="30" customHeight="1">
      <x:c r="A11" s="8" t="str">
        <x:v>Input (same currency in both columns)</x:v>
      </x:c>
      <x:c r="B11" s="8" t="str">
        <x:v>Estimate</x:v>
      </x:c>
      <x:c r="C11" s="8" t="str">
        <x:v>Actual</x:v>
      </x:c>
      <x:c r="D11" s="1"/>
    </x:row>
    <x:row r="12" ht="25" customHeight="1">
      <x:c r="A12" s="1" t="str">
        <x:v>Revenue</x:v>
      </x:c>
      <x:c r="B12" s="11" t="n">
        <x:v>240</x:v>
      </x:c>
      <x:c r="C12" s="11" t="n">
        <x:v>240</x:v>
      </x:c>
      <x:c r="D12" s="1"/>
    </x:row>
    <x:row r="13" ht="25" customHeight="1">
      <x:c r="A13" s="1" t="str">
        <x:v>Total paid crew-hours</x:v>
      </x:c>
      <x:c r="B13" s="11" t="n">
        <x:v>4</x:v>
      </x:c>
      <x:c r="C13" s="11" t="n">
        <x:v>5</x:v>
      </x:c>
      <x:c r="D13" s="1"/>
    </x:row>
    <x:row r="14" ht="25" customHeight="1">
      <x:c r="A14" s="1" t="str">
        <x:v>Loaded cost per crew-hour</x:v>
      </x:c>
      <x:c r="B14" s="11" t="n">
        <x:v>25</x:v>
      </x:c>
      <x:c r="C14" s="11" t="n">
        <x:v>25</x:v>
      </x:c>
      <x:c r="D14" s="1"/>
    </x:row>
    <x:row r="15" ht="25" customHeight="1">
      <x:c r="A15" s="1" t="str">
        <x:v>Supplies</x:v>
      </x:c>
      <x:c r="B15" s="11" t="n">
        <x:v>12</x:v>
      </x:c>
      <x:c r="C15" s="11" t="n">
        <x:v>15</x:v>
      </x:c>
      <x:c r="D15" s="1"/>
    </x:row>
    <x:row r="16" ht="25" customHeight="1">
      <x:c r="A16" s="1" t="str">
        <x:v>Travel cost</x:v>
      </x:c>
      <x:c r="B16" s="11" t="n">
        <x:v>10</x:v>
      </x:c>
      <x:c r="C16" s="11" t="n">
        <x:v>14</x:v>
      </x:c>
      <x:c r="D16" s="1"/>
    </x:row>
    <x:row r="17" ht="25" customHeight="1">
      <x:c r="A17" s="1" t="str">
        <x:v>Other direct costs</x:v>
      </x:c>
      <x:c r="B17" s="11" t="n">
        <x:v>0</x:v>
      </x:c>
      <x:c r="C17" s="11" t="n">
        <x:v>0</x:v>
      </x:c>
      <x:c r="D17" s="1"/>
    </x:row>
    <x:row r="18" ht="25" customHeight="1">
      <x:c r="A18" s="1" t="str">
        <x:v>Payment fee rate</x:v>
      </x:c>
      <x:c r="B18" s="12" t="n">
        <x:v>0.03</x:v>
      </x:c>
      <x:c r="C18" s="12" t="n">
        <x:v>0.03</x:v>
      </x:c>
      <x:c r="D18" s="1"/>
    </x:row>
    <x:row r="19" ht="25" customHeight="1">
      <x:c r="A19" s="1"/>
      <x:c r="B19" s="1"/>
      <x:c r="C19" s="1"/>
      <x:c r="D19" s="1"/>
    </x:row>
    <x:row r="20" ht="25" customHeight="1">
      <x:c r="A20" s="1" t="str">
        <x:v>Blank inputs are missing, not zero. Fee rate: enter 3%.</x:v>
      </x:c>
      <x:c r="B20" s="1"/>
      <x:c r="C20" s="1"/>
      <x:c r="D20" s="1"/>
    </x:row>
    <x:row r="21" ht="30" customHeight="1">
      <x:c r="A21" s="8" t="str">
        <x:v>Calculation</x:v>
      </x:c>
      <x:c r="B21" s="8" t="str">
        <x:v>Estimate</x:v>
      </x:c>
      <x:c r="C21" s="8" t="str">
        <x:v>Actual</x:v>
      </x:c>
      <x:c r="D21" s="1"/>
    </x:row>
    <x:row r="22" ht="25" customHeight="1">
      <x:c r="A22" s="1" t="str">
        <x:v>Labor cost</x:v>
      </x:c>
      <x:c r="B22" s="6" t="n">
        <x:f>IF(COUNT(B12:B18)=7,B13*B14,"Enter all inputs")</x:f>
        <x:v>100</x:v>
      </x:c>
      <x:c r="C22" s="6" t="n">
        <x:f>IF(COUNT(C12:C18)=7,C13*C14,"Enter all inputs")</x:f>
        <x:v>125</x:v>
      </x:c>
      <x:c r="D22" s="1"/>
    </x:row>
    <x:row r="23" ht="25" customHeight="1">
      <x:c r="A23" s="1" t="str">
        <x:v>Payment fees</x:v>
      </x:c>
      <x:c r="B23" s="6" t="n">
        <x:f>IF(COUNT(B12:B18)=7,B12*B18,"Enter all inputs")</x:f>
        <x:v>7.199999999999999</x:v>
      </x:c>
      <x:c r="C23" s="6" t="n">
        <x:f>IF(COUNT(C12:C18)=7,IF(ISNUMBER(C43),C43,C12*C18),"Enter all inputs")</x:f>
        <x:v>7.2</x:v>
      </x:c>
      <x:c r="D23" s="1"/>
    </x:row>
    <x:row r="24" ht="25" customHeight="1">
      <x:c r="A24" s="1" t="str">
        <x:v>Total entered direct costs</x:v>
      </x:c>
      <x:c r="B24" s="6" t="n">
        <x:f>IF(COUNT(B12:B18)=7,SUM(B22:B23,B15:B17),"Enter all inputs")</x:f>
        <x:v>129.2</x:v>
      </x:c>
      <x:c r="C24" s="6" t="n">
        <x:f>IF(COUNT(C12:C18)=7,SUM(C22:C23,C15:C17),"Enter all inputs")</x:f>
        <x:v>161.2</x:v>
      </x:c>
      <x:c r="D24" s="1"/>
    </x:row>
    <x:row r="25" ht="25" customHeight="1">
      <x:c r="A25" s="1"/>
      <x:c r="B25" s="6"/>
      <x:c r="C25" s="6"/>
      <x:c r="D25" s="1"/>
    </x:row>
    <x:row r="26" ht="25" customHeight="1">
      <x:c r="A26" s="1" t="str">
        <x:v>Contribution before monthly overhead</x:v>
      </x:c>
      <x:c r="B26" s="6" t="n">
        <x:f>IF(COUNT(B12:B18)=7,B12-B24,"Enter all inputs")</x:f>
        <x:v>110.80000000000001</x:v>
      </x:c>
      <x:c r="C26" s="6" t="n">
        <x:f>IF(COUNT(C12:C18)=7,C12-C24,"Enter all inputs")</x:f>
        <x:v>78.80000000000001</x:v>
      </x:c>
      <x:c r="D26" s="1"/>
    </x:row>
    <x:row r="27" ht="25" customHeight="1">
      <x:c r="A27" s="1" t="str">
        <x:v>Contribution / revenue</x:v>
      </x:c>
      <x:c r="B27" s="13" t="n">
        <x:f>IF(COUNT(B12:B18)=7,IF(B12=0,"n.a.",B26/B12),"Enter all inputs")</x:f>
        <x:v>0.4616666666666667</x:v>
      </x:c>
      <x:c r="C27" s="13" t="n">
        <x:f>IF(COUNT(C12:C18)=7,IF(C12=0,"n.a.",C26/C12),"Enter all inputs")</x:f>
        <x:v>0.32833333333333337</x:v>
      </x:c>
      <x:c r="D27" s="1"/>
    </x:row>
    <x:row r="28" ht="25" customHeight="1">
      <x:c r="A28" s="1"/>
      <x:c r="B28" s="1"/>
      <x:c r="C28" s="1"/>
      <x:c r="D28" s="1"/>
    </x:row>
    <x:row r="29" ht="23" customHeight="1">
      <x:c r="A29" s="14" t="str">
        <x:v>Crew-hours = all workers multiplied by paid time.</x:v>
      </x:c>
      <x:c r="B29" s="14"/>
      <x:c r="C29" s="14"/>
      <x:c r="D29" s="14"/>
    </x:row>
    <x:row r="30" ht="23" customHeight="1">
      <x:c r="A30" s="14" t="str">
        <x:v>Use loaded labor cost; include owner delivery time consistently.</x:v>
      </x:c>
      <x:c r="B30" s="14"/>
      <x:c r="C30" s="14"/>
      <x:c r="D30" s="14"/>
    </x:row>
    <x:row r="31" ht="23" customHeight="1">
      <x:c r="A31" s="14" t="str">
        <x:v>Contribution still funds overhead, owner pay and profit goals.</x:v>
      </x:c>
      <x:c r="B31" s="14"/>
      <x:c r="C31" s="14"/>
      <x:c r="D31" s="14"/>
    </x:row>
    <x:row r="32" ht="23" customHeight="1">
      <x:c r="A32" s="14" t="str">
        <x:v>Currency is a label; no exchange-rate conversion.</x:v>
      </x:c>
      <x:c r="B32" s="14"/>
      <x:c r="C32" s="14"/>
      <x:c r="D32" s="14"/>
    </x:row>
    <x:row r="33" ht="23" customHeight="1">
      <x:c r="A33" s="14" t="str">
        <x:v>Guide: https://mybreakeven.com/resources/cleaning-job-cost-worksheet/</x:v>
      </x:c>
      <x:c r="B33" s="14"/>
      <x:c r="C33" s="14"/>
      <x:c r="D33" s="14"/>
    </x:row>
    <x:row r="34" ht="23" customHeight="1">
      <x:c r="A34" s="14" t="str">
        <x:v>Example source: MyBreakeven illustrative assumptions, October 14, 2026.</x:v>
      </x:c>
      <x:c r="B34" s="14"/>
      <x:c r="C34" s="14"/>
      <x:c r="D34" s="14"/>
    </x:row>
    <x:row r="36" ht="30" customHeight="1">
      <x:c r="A36" s="8" t="str">
        <x:v>Additional actual job entries</x:v>
      </x:c>
      <x:c r="B36" s="8"/>
      <x:c r="C36" s="8"/>
      <x:c r="D36" s="1"/>
    </x:row>
    <x:row r="37" ht="25" customHeight="1">
      <x:c r="A37" s="1" t="str">
        <x:v>Callback paid crew-hours</x:v>
      </x:c>
      <x:c r="B37" s="1"/>
      <x:c r="C37" s="11" t="n">
        <x:v>1</x:v>
      </x:c>
      <x:c r="D37" s="1"/>
    </x:row>
    <x:row r="38" ht="25" customHeight="1">
      <x:c r="A38" s="1" t="str">
        <x:v>Callback loaded cost per crew-hour</x:v>
      </x:c>
      <x:c r="B38" s="1"/>
      <x:c r="C38" s="11" t="n">
        <x:v>25</x:v>
      </x:c>
      <x:c r="D38" s="1"/>
    </x:row>
    <x:row r="39" ht="25" customHeight="1">
      <x:c r="A39" s="1" t="str">
        <x:v>Callback supplies</x:v>
      </x:c>
      <x:c r="B39" s="1"/>
      <x:c r="C39" s="11" t="n">
        <x:v>4</x:v>
      </x:c>
      <x:c r="D39" s="1"/>
    </x:row>
    <x:row r="40" ht="25" customHeight="1">
      <x:c r="A40" s="1" t="str">
        <x:v>Callback travel</x:v>
      </x:c>
      <x:c r="B40" s="1"/>
      <x:c r="C40" s="11" t="n">
        <x:v>8</x:v>
      </x:c>
      <x:c r="D40" s="1"/>
    </x:row>
    <x:row r="41" ht="25" customHeight="1">
      <x:c r="A41" s="1" t="str">
        <x:v>Callback other direct costs</x:v>
      </x:c>
      <x:c r="B41" s="1"/>
      <x:c r="C41" s="11" t="n">
        <x:v>0</x:v>
      </x:c>
      <x:c r="D41" s="1"/>
    </x:row>
    <x:row r="42" ht="25" customHeight="1">
      <x:c r="A42" s="1" t="str">
        <x:v>Customer credit / revenue reduction</x:v>
      </x:c>
      <x:c r="B42" s="1"/>
      <x:c r="C42" s="11" t="n">
        <x:v>20</x:v>
      </x:c>
      <x:c r="D42" s="1"/>
    </x:row>
    <x:row r="43" ht="25" customHeight="1">
      <x:c r="A43" s="1" t="str">
        <x:v>Actual payment fees (optional override)</x:v>
      </x:c>
      <x:c r="B43" s="1"/>
      <x:c r="C43" s="11" t="n">
        <x:v>7.2</x:v>
      </x:c>
      <x:c r="D43" s="1"/>
    </x:row>
    <x:row r="44" ht="25" customHeight="1">
      <x:c r="A44" s="1" t="str">
        <x:v>Extra work revenue</x:v>
      </x:c>
      <x:c r="B44" s="1"/>
      <x:c r="C44" s="11" t="n">
        <x:v>0</x:v>
      </x:c>
      <x:c r="D44" s="1"/>
    </x:row>
    <x:row r="45" ht="25" customHeight="1">
      <x:c r="A45" s="1" t="str">
        <x:v>Extra work variable costs</x:v>
      </x:c>
      <x:c r="B45" s="1"/>
      <x:c r="C45" s="11" t="n">
        <x:v>0</x:v>
      </x:c>
      <x:c r="D45" s="1"/>
    </x:row>
    <x:row r="46" ht="25" customHeight="1">
      <x:c r="A46" s="1"/>
      <x:c r="B46" s="1"/>
      <x:c r="C46" s="1"/>
      <x:c r="D46" s="1"/>
    </x:row>
    <x:row r="47" ht="30" customHeight="1">
      <x:c r="A47" s="8" t="str">
        <x:v>Final job result</x:v>
      </x:c>
      <x:c r="B47" s="8"/>
      <x:c r="C47" s="8"/>
      <x:c r="D47" s="1"/>
    </x:row>
    <x:row r="48" ht="25" customHeight="1">
      <x:c r="A48" s="1" t="str">
        <x:v>Callback cost</x:v>
      </x:c>
      <x:c r="B48" s="1"/>
      <x:c r="C48" s="6" t="n">
        <x:f>IF(COUNT(C37:C42,C44:C45)=8,C37*C38+SUM(C39:C41),"Enter every adjustment")</x:f>
        <x:v>37</x:v>
      </x:c>
      <x:c r="D48" s="1"/>
    </x:row>
    <x:row r="49" ht="25" customHeight="1">
      <x:c r="A49" s="1" t="str">
        <x:v>Final retained revenue</x:v>
      </x:c>
      <x:c r="B49" s="1"/>
      <x:c r="C49" s="6" t="n">
        <x:f>IF(AND(ISNUMBER(C26),ISNUMBER(C48)),C12-C42+C44,"Complete actual and adjustments")</x:f>
        <x:v>220</x:v>
      </x:c>
      <x:c r="D49" s="1"/>
    </x:row>
    <x:row r="50" ht="25" customHeight="1">
      <x:c r="A50" s="1" t="str">
        <x:v>Total variable costs incl. adjustments</x:v>
      </x:c>
      <x:c r="B50" s="1"/>
      <x:c r="C50" s="6" t="n">
        <x:f>IF(AND(ISNUMBER(C24),ISNUMBER(C48)),C24+C48+C45,"Complete actual and adjustments")</x:f>
        <x:v>198.2</x:v>
      </x:c>
      <x:c r="D50" s="1"/>
    </x:row>
    <x:row r="51" ht="25" customHeight="1">
      <x:c r="A51" s="1" t="str">
        <x:v>Final contribution before overhead</x:v>
      </x:c>
      <x:c r="B51" s="1"/>
      <x:c r="C51" s="17" t="n">
        <x:f>IF(AND(ISNUMBER(C49),ISNUMBER(C50)),C49-C50,"Complete actual and adjustments")</x:f>
        <x:v>21.80000000000001</x:v>
      </x:c>
      <x:c r="D51" s="1"/>
    </x:row>
    <x:row r="52" ht="25" customHeight="1">
      <x:c r="A52" s="1" t="str">
        <x:v>Contribution / retained revenue</x:v>
      </x:c>
      <x:c r="B52" s="1"/>
      <x:c r="C52" s="18" t="n">
        <x:f>IF(AND(ISNUMBER(C51),ISNUMBER(C49)),IF(C49=0,"n.a.",C51/C49),"Complete actual and adjustments")</x:f>
        <x:v>0.09909090909090915</x:v>
      </x:c>
      <x:c r="D52" s="1"/>
    </x:row>
    <x:row r="53" ht="25" customHeight="1">
      <x:c r="A53" s="1" t="str">
        <x:v>Final actual minus estimate</x:v>
      </x:c>
      <x:c r="B53" s="1"/>
      <x:c r="C53" s="17" t="n">
        <x:f>IF(AND(ISNUMBER(B26),ISNUMBER(C51)),C51-B26,"Complete both columns")</x:f>
        <x:v>-89</x:v>
      </x:c>
      <x:c r="D53" s="1"/>
    </x:row>
    <x:row r="54" ht="25" customHeight="1">
      <x:c r="A54" s="1"/>
      <x:c r="B54" s="1"/>
      <x:c r="C54" s="1"/>
      <x:c r="D54" s="1"/>
    </x:row>
    <x:row r="55" ht="25" customHeight="1">
      <x:c r="A55" s="1"/>
      <x:c r="B55" s="1"/>
      <x:c r="C55" s="1"/>
      <x:c r="D55" s="1"/>
    </x:row>
    <x:row r="56" ht="25" customHeight="1">
      <x:c r="A56" s="1"/>
      <x:c r="B56" s="1"/>
      <x:c r="C56" s="1"/>
      <x:c r="D56" s="1"/>
    </x:row>
    <x:row r="57" ht="30" customHeight="1">
      <x:c r="A57" s="8" t="str">
        <x:v>Contribution change by driver</x:v>
      </x:c>
      <x:c r="B57" s="8"/>
      <x:c r="C57" s="8"/>
      <x:c r="D57" s="1"/>
    </x:row>
    <x:row r="58" ht="25" customHeight="1">
      <x:c r="A58" s="1" t="str">
        <x:v>First-visit revenue</x:v>
      </x:c>
      <x:c r="B58" s="1"/>
      <x:c r="C58" s="6" t="n">
        <x:f>IF(AND(ISNUMBER(B26),ISNUMBER(C51)),C12-B12,"Complete both columns")</x:f>
        <x:v>0</x:v>
      </x:c>
      <x:c r="D58" s="1"/>
    </x:row>
    <x:row r="59" ht="25" customHeight="1">
      <x:c r="A59" s="1" t="str">
        <x:v>First-visit labour</x:v>
      </x:c>
      <x:c r="B59" s="1"/>
      <x:c r="C59" s="6" t="n">
        <x:f>IF(AND(ISNUMBER(B26),ISNUMBER(C51)),B22-C22,"Complete both columns")</x:f>
        <x:v>-25</x:v>
      </x:c>
      <x:c r="D59" s="1"/>
    </x:row>
    <x:row r="60" ht="25" customHeight="1">
      <x:c r="A60" s="1" t="str">
        <x:v>First-visit supplies</x:v>
      </x:c>
      <x:c r="B60" s="1"/>
      <x:c r="C60" s="6" t="n">
        <x:f>IF(AND(ISNUMBER(B26),ISNUMBER(C51)),B15-C15,"Complete both columns")</x:f>
        <x:v>-3</x:v>
      </x:c>
      <x:c r="D60" s="1"/>
    </x:row>
    <x:row r="61" ht="25" customHeight="1">
      <x:c r="A61" s="1" t="str">
        <x:v>First-visit travel</x:v>
      </x:c>
      <x:c r="B61" s="1"/>
      <x:c r="C61" s="6" t="n">
        <x:f>IF(AND(ISNUMBER(B26),ISNUMBER(C51)),B16-C16,"Complete both columns")</x:f>
        <x:v>-4</x:v>
      </x:c>
      <x:c r="D61" s="1"/>
    </x:row>
    <x:row r="62" ht="25" customHeight="1">
      <x:c r="A62" s="1" t="str">
        <x:v>First-visit other direct costs</x:v>
      </x:c>
      <x:c r="B62" s="1"/>
      <x:c r="C62" s="6" t="n">
        <x:f>IF(AND(ISNUMBER(B26),ISNUMBER(C51)),B17-C17,"Complete both columns")</x:f>
        <x:v>0</x:v>
      </x:c>
      <x:c r="D62" s="1"/>
    </x:row>
    <x:row r="63" ht="25" customHeight="1">
      <x:c r="A63" s="1" t="str">
        <x:v>Payment fees</x:v>
      </x:c>
      <x:c r="B63" s="1"/>
      <x:c r="C63" s="6" t="n">
        <x:f>IF(AND(ISNUMBER(B26),ISNUMBER(C51)),B23-C23,"Complete both columns")</x:f>
        <x:v>-8.881784197001252e-16</x:v>
      </x:c>
      <x:c r="D63" s="1"/>
    </x:row>
    <x:row r="64" ht="25" customHeight="1">
      <x:c r="A64" s="1" t="str">
        <x:v>Callback</x:v>
      </x:c>
      <x:c r="B64" s="1"/>
      <x:c r="C64" s="6" t="n">
        <x:f>IF(AND(ISNUMBER(B26),ISNUMBER(C51)),-C48,"Complete both columns")</x:f>
        <x:v>-37</x:v>
      </x:c>
      <x:c r="D64" s="1"/>
    </x:row>
    <x:row r="65" ht="25" customHeight="1">
      <x:c r="A65" s="1" t="str">
        <x:v>Customer credit</x:v>
      </x:c>
      <x:c r="B65" s="1"/>
      <x:c r="C65" s="6" t="n">
        <x:f>IF(AND(ISNUMBER(B26),ISNUMBER(C51)),-C42,"Complete both columns")</x:f>
        <x:v>-20</x:v>
      </x:c>
      <x:c r="D65" s="1"/>
    </x:row>
    <x:row r="66" ht="25" customHeight="1">
      <x:c r="A66" s="1" t="str">
        <x:v>Extra work net contribution</x:v>
      </x:c>
      <x:c r="B66" s="1"/>
      <x:c r="C66" s="6" t="n">
        <x:f>IF(AND(ISNUMBER(B26),ISNUMBER(C51)),C44-C45,"Complete both columns")</x:f>
        <x:v>0</x:v>
      </x:c>
      <x:c r="D66" s="1"/>
    </x:row>
    <x:row r="67" ht="25" customHeight="1">
      <x:c r="A67" s="1" t="str">
        <x:v>Total contribution change</x:v>
      </x:c>
      <x:c r="B67" s="1"/>
      <x:c r="C67" s="6" t="n">
        <x:f>IF(COUNT(C58:C66)=9,SUM(C58:C66),"Complete both columns")</x:f>
        <x:v>-89</x:v>
      </x:c>
      <x:c r="D67" s="1"/>
    </x:row>
    <x:row r="68" ht="48" customHeight="1">
      <x:c r="A68" s="19" t="str">
        <x:v>Enter callback and extra costs only when absent from first-visit actuals. Credit reduces revenue once.</x:v>
      </x:c>
      <x:c r="B68" s="1"/>
      <x:c r="C68" s="1"/>
      <x:c r="D68" s="1"/>
    </x:row>
    <x:row r="69" ht="48" customHeight="1">
      <x:c r="A69" s="19" t="str">
        <x:v>Blank fee override uses first-visit revenue × rate. Include extra-work fees once in override or extra costs.</x:v>
      </x:c>
      <x:c r="B69" s="1"/>
      <x:c r="C69" s="1"/>
      <x:c r="D69" s="1"/>
    </x:row>
    <x:row r="70" ht="48" customHeight="1">
      <x:c r="A70" s="19" t="str">
        <x:v>All figures use one currency. Contribution excludes fixed overhead. Example is fictional.</x:v>
      </x:c>
      <x:c r="B70" s="1"/>
      <x:c r="C70" s="1"/>
      <x:c r="D70" s="1"/>
    </x:row>
  </x:sheetData>
  <x:conditionalFormatting sqref="D5:D5">
    <x:cfRule type="cellIs" dxfId="1" priority="1" operator="lessThan">
      <x:formula>0</x:formula>
    </x:cfRule>
  </x:conditionalFormatting>
  <x:dataValidations count="3">
    <x:dataValidation type="decimal" operator="between" sqref="B12:C17">
      <x:formula1>0</x:formula1>
      <x:formula2>1000000000</x:formula2>
    </x:dataValidation>
    <x:dataValidation type="decimal" operator="between" sqref="B18:C18">
      <x:formula1>0</x:formula1>
      <x:formula2>1</x:formula2>
    </x:dataValidation>
    <x:dataValidation type="decimal" operator="between" sqref="C37:C45">
      <x:formula1>0</x:formula1>
      <x:formula2>1000000000</x:formula2>
    </x:dataValidation>
  </x:dataValidations>
  <x:pageMargins left="0.7" right="0.7" top="0.75" bottom="0.75" header="0.3" footer="0.3"/>
</x:worksheet>
</file>