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da561c8f1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capital" sheetId="1" r:id="R39ba8b433079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$#,##0.00;($#,##0.00);&quot;-&quot;"/>
    <x:numFmt numFmtId="202" formatCode="#,##0.00;(#,##0.00);&quot;-&quot;"/>
    <x:numFmt numFmtId="203" formatCode="0.00&quot;x&quot;"/>
  </x:numFmts>
  <x:fonts count="8">
    <x:font>
      <x:sz val="11"/>
      <x:name val="Carlito"/>
    </x:font>
    <x:font>
      <x:sz val="11"/>
      <x:color rgb="FF152C3F"/>
      <x:name val="Arial"/>
    </x:font>
    <x:font>
      <x:b/>
      <x:sz val="18"/>
      <x:color rgb="FF152C3F"/>
      <x:name val="Arial"/>
    </x:font>
    <x:font>
      <x:b/>
      <x:sz val="11"/>
      <x:color rgb="FFFFFFFF"/>
      <x:name val="Arial"/>
    </x:font>
    <x:font>
      <x:sz val="11"/>
      <x:color rgb="FF174AB5"/>
      <x:name val="Arial"/>
    </x:font>
    <x:font>
      <x:b/>
      <x:sz val="11"/>
      <x:color rgb="FF000000"/>
      <x:name val="Arial"/>
    </x:font>
    <x:font>
      <x:i/>
      <x:sz val="11"/>
      <x:color rgb="FF152C3F"/>
      <x:name val="Arial"/>
    </x:font>
    <x:font>
      <x:b/>
      <x:i/>
      <x:sz val="11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75B"/>
      </x:patternFill>
    </x:fill>
    <x:fill>
      <x:patternFill patternType="solid">
        <x:fgColor rgb="FFFFF3D6"/>
      </x:patternFill>
    </x:fill>
    <x:fill>
      <x:patternFill patternType="solid">
        <x:fgColor rgb="FFEDF3F6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CAEBB"/>
      </x:top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2" fontId="4" fillId="3" borderId="0" xfId="0" applyNumberFormat="1" applyFont="1" applyFill="1" applyBorder="1" applyAlignment="1">
      <x:alignment horizontal="center" vertical="center"/>
    </x:xf>
    <x:xf numFmtId="202" fontId="5" fillId="4" borderId="1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2" fontId="3" fillId="2" borderId="0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662d5f5834aed" /><Relationship Type="http://schemas.openxmlformats.org/officeDocument/2006/relationships/theme" Target="/xl/theme/theme1.xml" Id="Rb38b636c9654413a" /><Relationship Type="http://schemas.openxmlformats.org/officeDocument/2006/relationships/sharedStrings" Target="/xl/sharedStrings.xml" Id="R4267766032d64ac1" /><Relationship Type="http://schemas.openxmlformats.org/officeDocument/2006/relationships/worksheet" Target="/xl/worksheets/sheet1.xml" Id="R39ba8b43307945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5B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" hidden="0" customWidth="1"/>
    <x:col min="2" max="2" width="40" hidden="0" customWidth="1"/>
    <x:col min="3" max="3" width="20" hidden="0" customWidth="1"/>
    <x:col min="4" max="4" width="66" hidden="0" customWidth="1"/>
  </x:cols>
  <x:sheetData>
    <x:row r="2" ht="34" customHeight="1">
      <x:c r="B2" s="4" t="str">
        <x:v>Working capital worksheet</x:v>
      </x:c>
      <x:c r="C2" s="5"/>
      <x:c r="D2" s="5"/>
    </x:row>
    <x:row r="3" ht="28" customHeight="1">
      <x:c r="B3" s="5" t="str">
        <x:v>As of date</x:v>
      </x:c>
      <x:c r="C3" s="19" t="d">
        <x:v>2026-09-30T00:00:00.000Z</x:v>
      </x:c>
      <x:c r="D3" s="5" t="str">
        <x:v>Use one reconciled balance-sheet date.</x:v>
      </x:c>
    </x:row>
    <x:row r="4" ht="28" customHeight="1">
      <x:c r="B4" s="5" t="str">
        <x:v>Currency label</x:v>
      </x:c>
      <x:c r="C4" s="20" t="str">
        <x:v>USD</x:v>
      </x:c>
      <x:c r="D4" s="5" t="str">
        <x:v>Label only; no currency conversion. Fictional example loaded.</x:v>
      </x:c>
    </x:row>
    <x:row r="5" ht="28" customHeight="1">
      <x:c r="B5" s="5"/>
      <x:c r="C5" s="21"/>
      <x:c r="D5" s="5"/>
    </x:row>
    <x:row r="6" ht="28" customHeight="1">
      <x:c r="B6" s="5" t="str">
        <x:v>Net working capital</x:v>
      </x:c>
      <x:c r="C6" s="25" t="n">
        <x:f>IF(AND(ISNUMBER(C19),ISNUMBER(C28)),C19-C28,"n.a.")</x:f>
        <x:v>24000</x:v>
      </x:c>
      <x:c r="D6" s="5" t="str">
        <x:v>Current assets less current liabilities; not available bank cash.</x:v>
      </x:c>
    </x:row>
    <x:row r="7" ht="28" customHeight="1">
      <x:c r="B7" s="31" t="str">
        <x:v>Current ratio</x:v>
      </x:c>
      <x:c r="C7" s="32" t="n">
        <x:f>IF(AND(ISNUMBER(C19),ISNUMBER(C28)),IF(C28=0,"n.a.",C19/C28),"n.a.")</x:f>
        <x:v>1.631578947368421</x:v>
      </x:c>
      <x:c r="D7" s="5" t="str">
        <x:v>Current assets divided by current liabilities.</x:v>
      </x:c>
    </x:row>
    <x:row r="8" ht="35" customHeight="1">
      <x:c r="B8" s="31" t="str">
        <x:v>Quick ratio</x:v>
      </x:c>
      <x:c r="C8" s="32" t="n">
        <x:f>IF(AND(ISNUMBER(C19),ISNUMBER(C28)),IF(C28=0,"n.a.",SUM(C13:C14,C17)/C28),"n.a.")</x:f>
        <x:v>0.7894736842105263</x:v>
      </x:c>
      <x:c r="D8" s="7" t="str">
        <x:v>Cash, collectible receivables and eligible liquid investments / liabilities.</x:v>
      </x:c>
    </x:row>
    <x:row r="9" ht="28" customHeight="1">
      <x:c r="B9" s="5" t="str">
        <x:v>Input status</x:v>
      </x:c>
      <x:c r="C9" s="21" t="str">
        <x:f>IF(AND(ISNUMBER(C19),ISNUMBER(C28)),"Complete","Review inputs")</x:f>
        <x:v>Complete</x:v>
      </x:c>
      <x:c r="D9" s="5" t="str">
        <x:v>Every balance requires a nonnegative number; enter 0 if none.</x:v>
      </x:c>
    </x:row>
    <x:row r="10" ht="28" customHeight="1">
      <x:c r="B10" s="5"/>
      <x:c r="C10" s="21"/>
      <x:c r="D10" s="5"/>
    </x:row>
    <x:row r="11" ht="28" customHeight="1">
      <x:c r="B11" s="5"/>
      <x:c r="C11" s="21"/>
      <x:c r="D11" s="5"/>
    </x:row>
    <x:row r="12" ht="28" customHeight="1">
      <x:c r="B12" s="9" t="str">
        <x:v>Current assets</x:v>
      </x:c>
      <x:c r="C12" s="23" t="str">
        <x:v>Amount</x:v>
      </x:c>
      <x:c r="D12" s="9" t="str">
        <x:v>Record or classification check</x:v>
      </x:c>
    </x:row>
    <x:row r="13" ht="28" customHeight="1">
      <x:c r="B13" s="5" t="str">
        <x:v>Cash</x:v>
      </x:c>
      <x:c r="C13" s="26" t="n">
        <x:v>8000</x:v>
      </x:c>
      <x:c r="D13" s="5" t="str">
        <x:v>Reconcile bank balances; review restrictions separately.</x:v>
      </x:c>
    </x:row>
    <x:row r="14" ht="28" customHeight="1">
      <x:c r="B14" s="5" t="str">
        <x:v>Trade receivables</x:v>
      </x:c>
      <x:c r="C14" s="26" t="n">
        <x:v>22000</x:v>
      </x:c>
      <x:c r="D14" s="5" t="str">
        <x:v>Use the net carrying amount after applicable allowances.</x:v>
      </x:c>
    </x:row>
    <x:row r="15" ht="28" customHeight="1">
      <x:c r="B15" s="5" t="str">
        <x:v>Inventory</x:v>
      </x:c>
      <x:c r="C15" s="26" t="n">
        <x:v>30000</x:v>
      </x:c>
      <x:c r="D15" s="5" t="str">
        <x:v>Use the relevant cost and valuation adjustments.</x:v>
      </x:c>
    </x:row>
    <x:row r="16" ht="28" customHeight="1">
      <x:c r="B16" s="5" t="str">
        <x:v>Prepaid expenses</x:v>
      </x:c>
      <x:c r="C16" s="26" t="n">
        <x:v>2000</x:v>
      </x:c>
      <x:c r="D16" s="5" t="str">
        <x:v>Current benefit; this is not cash available for payroll.</x:v>
      </x:c>
    </x:row>
    <x:row r="17" ht="28" customHeight="1">
      <x:c r="B17" s="5" t="str">
        <x:v>Eligible liquid investments</x:v>
      </x:c>
      <x:c r="C17" s="26" t="n">
        <x:v>0</x:v>
      </x:c>
      <x:c r="D17" s="5" t="str">
        <x:v>Included in this worksheet’s quick-asset definition.</x:v>
      </x:c>
    </x:row>
    <x:row r="18" ht="28" customHeight="1">
      <x:c r="B18" s="5" t="str">
        <x:v>Other current assets</x:v>
      </x:c>
      <x:c r="C18" s="26" t="n">
        <x:v>0</x:v>
      </x:c>
      <x:c r="D18" s="5" t="str">
        <x:v>Current items not already recorded above; excluded from quick assets.</x:v>
      </x:c>
    </x:row>
    <x:row r="19" ht="28" customHeight="1">
      <x:c r="B19" s="17" t="str">
        <x:v>Total current assets</x:v>
      </x:c>
      <x:c r="C19" s="27" t="n">
        <x:f>IF(OR(COUNT(C13:C18)&lt;&gt;6,MIN(C13:C18)&lt;0),"n.a.",SUM(C13:C18))</x:f>
        <x:v>62000</x:v>
      </x:c>
      <x:c r="D19" s="17"/>
    </x:row>
    <x:row r="20" ht="28" customHeight="1">
      <x:c r="B20" s="5"/>
      <x:c r="C20" s="28"/>
      <x:c r="D20" s="5"/>
    </x:row>
    <x:row r="21" ht="28" customHeight="1">
      <x:c r="B21" s="9" t="str">
        <x:v>Current liabilities</x:v>
      </x:c>
      <x:c r="C21" s="29" t="str">
        <x:v>Amount</x:v>
      </x:c>
      <x:c r="D21" s="9" t="str">
        <x:v>Record or classification check</x:v>
      </x:c>
    </x:row>
    <x:row r="22" ht="28" customHeight="1">
      <x:c r="B22" s="5" t="str">
        <x:v>Supplier payables</x:v>
      </x:c>
      <x:c r="C22" s="26" t="n">
        <x:v>18000</x:v>
      </x:c>
      <x:c r="D22" s="5" t="str">
        <x:v>Amounts due under the selected reporting classification.</x:v>
      </x:c>
    </x:row>
    <x:row r="23" ht="28" customHeight="1">
      <x:c r="B23" s="5" t="str">
        <x:v>Accrued wages</x:v>
      </x:c>
      <x:c r="C23" s="26" t="n">
        <x:v>6000</x:v>
      </x:c>
      <x:c r="D23" s="5" t="str">
        <x:v>Unpaid payroll included in current liabilities.</x:v>
      </x:c>
    </x:row>
    <x:row r="24" ht="28" customHeight="1">
      <x:c r="B24" s="5" t="str">
        <x:v>Taxes payable</x:v>
      </x:c>
      <x:c r="C24" s="26" t="n">
        <x:v>4000</x:v>
      </x:c>
      <x:c r="D24" s="5" t="str">
        <x:v>Use the reconciled current tax obligation.</x:v>
      </x:c>
    </x:row>
    <x:row r="25" ht="28" customHeight="1">
      <x:c r="B25" s="5" t="str">
        <x:v>Current debt</x:v>
      </x:c>
      <x:c r="C25" s="26" t="n">
        <x:v>10000</x:v>
      </x:c>
      <x:c r="D25" s="5" t="str">
        <x:v>Include the current portion of borrowing once.</x:v>
      </x:c>
    </x:row>
    <x:row r="26" ht="28" customHeight="1">
      <x:c r="B26" s="5" t="str">
        <x:v>Customer advances</x:v>
      </x:c>
      <x:c r="C26" s="26" t="n">
        <x:v>0</x:v>
      </x:c>
      <x:c r="D26" s="5" t="str">
        <x:v>Include only when classified as a current liability.</x:v>
      </x:c>
    </x:row>
    <x:row r="27" ht="28" customHeight="1">
      <x:c r="B27" s="5" t="str">
        <x:v>Other current liabilities</x:v>
      </x:c>
      <x:c r="C27" s="26" t="n">
        <x:v>0</x:v>
      </x:c>
      <x:c r="D27" s="5" t="str">
        <x:v>Other current obligations not already included above.</x:v>
      </x:c>
    </x:row>
    <x:row r="28" ht="28" customHeight="1">
      <x:c r="B28" s="17" t="str">
        <x:v>Total current liabilities</x:v>
      </x:c>
      <x:c r="C28" s="27" t="n">
        <x:f>IF(OR(COUNT(C22:C27)&lt;&gt;6,MIN(C22:C27)&lt;0),"n.a.",SUM(C22:C27))</x:f>
        <x:v>38000</x:v>
      </x:c>
      <x:c r="D28" s="17"/>
    </x:row>
    <x:row r="29" ht="28" customHeight="1">
      <x:c r="B29" s="5"/>
      <x:c r="C29" s="5"/>
      <x:c r="D29" s="5"/>
    </x:row>
    <x:row r="30" ht="28" customHeight="1">
      <x:c r="B30" s="5" t="str">
        <x:v>How to use</x:v>
      </x:c>
      <x:c r="C30" s="5"/>
      <x:c r="D30" s="5" t="str">
        <x:v>Replace every amber balance, including zeros. Do not combine different dates.</x:v>
      </x:c>
    </x:row>
    <x:row r="31" ht="28" customHeight="1">
      <x:c r="B31" s="5" t="str">
        <x:v>Definitions</x:v>
      </x:c>
      <x:c r="C31" s="5"/>
      <x:c r="D31" s="5" t="str">
        <x:v>Quick assets exclude inventory, prepaids and other current assets in this file.</x:v>
      </x:c>
    </x:row>
    <x:row r="32" ht="28" customHeight="1">
      <x:c r="B32" s="5" t="str">
        <x:v>Zero liabilities</x:v>
      </x:c>
      <x:c r="C32" s="5"/>
      <x:c r="D32" s="5" t="str">
        <x:v>Working capital remains calculable; current and quick ratios show n.a.</x:v>
      </x:c>
    </x:row>
    <x:row r="33" ht="28" customHeight="1">
      <x:c r="B33" s="5" t="str">
        <x:v>Next step</x:v>
      </x:c>
      <x:c r="C33" s="5"/>
      <x:c r="D33" s="5" t="str">
        <x:v>Plan due dates separately; positive working capital is not spending permission.</x:v>
      </x:c>
    </x:row>
    <x:row r="34" ht="28" customHeight="1">
      <x:c r="B34" s="5"/>
      <x:c r="C34" s="5"/>
      <x:c r="D34" s="5"/>
    </x:row>
    <x:row r="35" ht="42" customHeight="1">
      <x:c r="B35" s="5" t="str">
        <x:v>Method source</x:v>
      </x:c>
      <x:c r="C35" s="5"/>
      <x:c r="D35" s="7" t="str">
        <x:v>https://www.bdc.ca/en/articles-tools/entrepreneur-toolkit/templates-business-guides/glossary/working-capital</x:v>
      </x:c>
    </x:row>
    <x:row r="36" ht="28" customHeight="1">
      <x:c r="B36" s="5"/>
      <x:c r="C36" s="5"/>
      <x:c r="D36" s="5" t="str">
        <x:v>Original fictional inputs and worksheet by MyBreakeven. No bank connection.</x:v>
      </x:c>
    </x:row>
  </x:sheetData>
  <x:pageMargins left="0.7" right="0.7" top="0.75" bottom="0.75" header="0.3" footer="0.3"/>
</x:worksheet>
</file>