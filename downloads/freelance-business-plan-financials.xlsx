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c2ad4e4894f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eelance plan" sheetId="1" r:id="Rc3409354644447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–&quot;"/>
    <x:numFmt numFmtId="201" formatCode="0.0%"/>
    <x:numFmt numFmtId="202" formatCode="0"/>
  </x:numFmts>
  <x:fonts count="4">
    <x:font>
      <x:sz val="11"/>
      <x:name val="Carlito"/>
    </x:font>
    <x:font>
      <x:sz val="11"/>
      <x:color rgb="FF152B3E"/>
      <x:name val="Arial"/>
    </x:font>
    <x:font>
      <x:b/>
      <x:sz val="15"/>
      <x:color rgb="FF152B3E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4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201" fontId="3" fillId="2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5c7458d8045b4" /><Relationship Type="http://schemas.openxmlformats.org/officeDocument/2006/relationships/theme" Target="/xl/theme/theme1.xml" Id="R8aa41ff33a8048d6" /><Relationship Type="http://schemas.openxmlformats.org/officeDocument/2006/relationships/sharedStrings" Target="/xl/sharedStrings.xml" Id="R421c5d5fa9d94b61" /><Relationship Type="http://schemas.openxmlformats.org/officeDocument/2006/relationships/worksheet" Target="/xl/worksheets/sheet1.xml" Id="Rc3409354644447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8" hidden="0" customWidth="1"/>
    <x:col min="3" max="3" width="20" hidden="0" customWidth="1"/>
  </x:cols>
  <x:sheetData>
    <x:row r="2" ht="25" customHeight="1">
      <x:c r="B2" s="2" t="str">
        <x:v>Freelance assignment plan (USD)</x:v>
      </x:c>
      <x:c r="C2" s="1"/>
    </x:row>
    <x:row r="3" ht="25" customHeight="1">
      <x:c r="B3" s="1"/>
      <x:c r="C3" s="1"/>
    </x:row>
    <x:row r="4" ht="25" customHeight="1">
      <x:c r="B4" s="1" t="str">
        <x:v>Contribution per assignment</x:v>
      </x:c>
      <x:c r="C4" s="7" t="n">
        <x:f>IF(C9=1,C11*(1-C14)-SUM(C12:C13),"n.a.")</x:f>
        <x:v>435</x:v>
      </x:c>
    </x:row>
    <x:row r="5" ht="25" customHeight="1">
      <x:c r="B5" s="1" t="str">
        <x:v>Whole assignments for profit goal</x:v>
      </x:c>
      <x:c r="C5" s="8" t="n">
        <x:f>IF(C9=1,IF(C4&gt;0,ROUNDUP(SUM(C15:C17)/C4,0),"Not possible"),"n.a.")</x:f>
        <x:v>10</x:v>
      </x:c>
    </x:row>
    <x:row r="6" ht="25" customHeight="1">
      <x:c r="B6" s="1" t="str">
        <x:v>Whole assignments hours capacity</x:v>
      </x:c>
      <x:c r="C6" s="8" t="n">
        <x:f>IF(C9=1,ROUNDDOWN(C18*52/12*C19/C20,0),"n.a.")</x:f>
        <x:v>9</x:v>
      </x:c>
    </x:row>
    <x:row r="7" ht="25" customHeight="1">
      <x:c r="B7" s="1" t="str">
        <x:v>Result after overhead and owner pay</x:v>
      </x:c>
      <x:c r="C7" s="7" t="n">
        <x:f>IF(C9=1,C10*C4-C15-C16,"n.a.")</x:f>
        <x:v>315</x:v>
      </x:c>
    </x:row>
    <x:row r="8" ht="25" customHeight="1">
      <x:c r="B8" s="1"/>
      <x:c r="C8" s="1"/>
    </x:row>
    <x:row r="9" ht="25" customHeight="1">
      <x:c r="B9" s="1" t="str">
        <x:v>Inputs complete and valid (1=yes)</x:v>
      </x:c>
      <x:c r="C9" s="1" t="n">
        <x:f>IF(COUNT(C10:C25)=16,IF(AND(MIN(C10:C25)&gt;=0,C14&lt;=1,C19&lt;=1,C20&gt;0,C22&lt;=1,C10=INT(C10)),1,0),0)</x:f>
        <x:v>1</x:v>
      </x:c>
    </x:row>
    <x:row r="10" ht="25" customHeight="1">
      <x:c r="B10" s="1" t="str">
        <x:v>Completed assignments</x:v>
      </x:c>
      <x:c r="C10" s="5" t="n">
        <x:v>9</x:v>
      </x:c>
    </x:row>
    <x:row r="11" ht="25" customHeight="1">
      <x:c r="B11" s="1" t="str">
        <x:v>Price per assignment</x:v>
      </x:c>
      <x:c r="C11" s="5" t="n">
        <x:v>500</x:v>
      </x:c>
    </x:row>
    <x:row r="12" ht="25" customHeight="1">
      <x:c r="B12" s="1" t="str">
        <x:v>Direct expenses per assignment</x:v>
      </x:c>
      <x:c r="C12" s="5" t="n">
        <x:v>20</x:v>
      </x:c>
    </x:row>
    <x:row r="13" ht="25" customHeight="1">
      <x:c r="B13" s="1" t="str">
        <x:v>Acquisition per assignment</x:v>
      </x:c>
      <x:c r="C13" s="5" t="n">
        <x:v>30</x:v>
      </x:c>
    </x:row>
    <x:row r="14" ht="25" customHeight="1">
      <x:c r="B14" s="1" t="str">
        <x:v>Payment-fee rate</x:v>
      </x:c>
      <x:c r="C14" s="6" t="n">
        <x:v>0.03</x:v>
      </x:c>
    </x:row>
    <x:row r="15" ht="25" customHeight="1">
      <x:c r="B15" s="1" t="str">
        <x:v>Monthly fixed overhead</x:v>
      </x:c>
      <x:c r="C15" s="5" t="n">
        <x:v>600</x:v>
      </x:c>
    </x:row>
    <x:row r="16" ht="25" customHeight="1">
      <x:c r="B16" s="1" t="str">
        <x:v>Owner-pay funding allowance</x:v>
      </x:c>
      <x:c r="C16" s="5" t="n">
        <x:v>3000</x:v>
      </x:c>
    </x:row>
    <x:row r="17" ht="25" customHeight="1">
      <x:c r="B17" s="1" t="str">
        <x:v>Additional target profit</x:v>
      </x:c>
      <x:c r="C17" s="5" t="n">
        <x:v>400</x:v>
      </x:c>
    </x:row>
    <x:row r="18" ht="25" customHeight="1">
      <x:c r="B18" s="1" t="str">
        <x:v>Available hours per week</x:v>
      </x:c>
      <x:c r="C18" s="5" t="n">
        <x:v>30</x:v>
      </x:c>
    </x:row>
    <x:row r="19" ht="25" customHeight="1">
      <x:c r="B19" s="1" t="str">
        <x:v>Productive share</x:v>
      </x:c>
      <x:c r="C19" s="6" t="n">
        <x:v>0.6</x:v>
      </x:c>
    </x:row>
    <x:row r="20" ht="25" customHeight="1">
      <x:c r="B20" s="1" t="str">
        <x:v>Worker-hours per assignment</x:v>
      </x:c>
      <x:c r="C20" s="5" t="n">
        <x:v>8</x:v>
      </x:c>
    </x:row>
    <x:row r="21" ht="25" customHeight="1">
      <x:c r="B21" s="1" t="str">
        <x:v>Opening cash</x:v>
      </x:c>
      <x:c r="C21" s="5" t="n">
        <x:v>5000</x:v>
      </x:c>
    </x:row>
    <x:row r="22" ht="25" customHeight="1">
      <x:c r="B22" s="1" t="str">
        <x:v>Current-month collection share</x:v>
      </x:c>
      <x:c r="C22" s="6" t="n">
        <x:v>0.5</x:v>
      </x:c>
    </x:row>
    <x:row r="23" ht="25" customHeight="1">
      <x:c r="B23" s="1" t="str">
        <x:v>Opening receivables collected now</x:v>
      </x:c>
      <x:c r="C23" s="5" t="n">
        <x:v>0</x:v>
      </x:c>
    </x:row>
    <x:row r="24" ht="25" customHeight="1">
      <x:c r="B24" s="1" t="str">
        <x:v>One-time cash purchases</x:v>
      </x:c>
      <x:c r="C24" s="5" t="n">
        <x:v>0</x:v>
      </x:c>
    </x:row>
    <x:row r="25" ht="25" customHeight="1">
      <x:c r="B25" s="1" t="str">
        <x:v>Other cash payments</x:v>
      </x:c>
      <x:c r="C25" s="5" t="n">
        <x:v>0</x:v>
      </x:c>
    </x:row>
    <x:row r="26" ht="25" customHeight="1">
      <x:c r="B26" s="1"/>
      <x:c r="C26" s="1"/>
    </x:row>
    <x:row r="27" ht="25" customHeight="1">
      <x:c r="B27" s="1"/>
      <x:c r="C27" s="1"/>
    </x:row>
    <x:row r="28" ht="25" customHeight="1">
      <x:c r="B28" s="1" t="str">
        <x:v>Productive worker-hours</x:v>
      </x:c>
      <x:c r="C28" s="7" t="n">
        <x:f>IF(C9=1,C18*52/12*C19,"n.a.")</x:f>
        <x:v>78</x:v>
      </x:c>
    </x:row>
    <x:row r="29" ht="32" customHeight="1">
      <x:c r="B29" s="1" t="str">
        <x:v>Goal capacity status</x:v>
      </x:c>
      <x:c r="C29" s="9" t="str">
        <x:f>IF(C9=1,IF(ISNUMBER(C5),IF(C5&gt;C6,"Above capacity","Fits stated hours"),"Not possible"),"n.a.")</x:f>
        <x:v>Above capacity</x:v>
      </x:c>
    </x:row>
    <x:row r="30" ht="25" customHeight="1">
      <x:c r="B30" s="1" t="str">
        <x:v>Contribution at planned assignments</x:v>
      </x:c>
      <x:c r="C30" s="7" t="n">
        <x:f>IF(C9=1,C10*C4,"n.a.")</x:f>
        <x:v>3915</x:v>
      </x:c>
    </x:row>
    <x:row r="31" ht="25" customHeight="1">
      <x:c r="B31" s="1" t="str">
        <x:v>Price for goal at planned volume</x:v>
      </x:c>
      <x:c r="C31" s="7" t="n">
        <x:f>IF(C9=1,IF(AND(C10&gt;0,C14&lt;1),ROUNDUP((SUM(C12:C13)+SUM(C15:C17)/C10)/(1-C14),2),"n.a."),"n.a.")</x:f>
        <x:v>509.74</x:v>
      </x:c>
    </x:row>
    <x:row r="32" ht="25" customHeight="1">
      <x:c r="B32" s="1"/>
      <x:c r="C32" s="7"/>
    </x:row>
    <x:row r="33" ht="25" customHeight="1">
      <x:c r="B33" s="1" t="str">
        <x:v>Revenue</x:v>
      </x:c>
      <x:c r="C33" s="7" t="n">
        <x:f>IF(C9=1,C10*C11,"n.a.")</x:f>
        <x:v>4500</x:v>
      </x:c>
    </x:row>
    <x:row r="34" ht="25" customHeight="1">
      <x:c r="B34" s="1" t="str">
        <x:v>Direct expenses, acquisition and fees</x:v>
      </x:c>
      <x:c r="C34" s="7" t="n">
        <x:f>IF(C9=1,C10*(SUM(C12:C13)+C11*C14),"n.a.")</x:f>
        <x:v>585</x:v>
      </x:c>
    </x:row>
    <x:row r="35" ht="25" customHeight="1">
      <x:c r="B35" s="1" t="str">
        <x:v>Result after owner pay</x:v>
      </x:c>
      <x:c r="C35" s="7" t="n">
        <x:f>IF(C9=1,C7,"n.a.")</x:f>
        <x:v>315</x:v>
      </x:c>
    </x:row>
    <x:row r="36" ht="25" customHeight="1">
      <x:c r="B36" s="1" t="str">
        <x:v>Shortfall against additional profit goal</x:v>
      </x:c>
      <x:c r="C36" s="7" t="n">
        <x:f>IF(C9=1,MAX(0,C17-C7),"n.a.")</x:f>
        <x:v>85</x:v>
      </x:c>
    </x:row>
    <x:row r="37" ht="25" customHeight="1">
      <x:c r="B37" s="1"/>
      <x:c r="C37" s="7"/>
    </x:row>
    <x:row r="38" ht="25" customHeight="1">
      <x:c r="B38" s="1"/>
      <x:c r="C38" s="7"/>
    </x:row>
    <x:row r="39" ht="25" customHeight="1">
      <x:c r="B39" s="1" t="str">
        <x:v>Cash received this month</x:v>
      </x:c>
      <x:c r="C39" s="7" t="n">
        <x:f>IF(C9=1,C33*C22+C23,"n.a.")</x:f>
        <x:v>2250</x:v>
      </x:c>
    </x:row>
    <x:row r="40" ht="25" customHeight="1">
      <x:c r="B40" s="1" t="str">
        <x:v>Cash costs paid this month</x:v>
      </x:c>
      <x:c r="C40" s="7" t="n">
        <x:f>IF(C9=1,SUM(C34,C15:C16,C24:C25),"n.a.")</x:f>
        <x:v>4185</x:v>
      </x:c>
    </x:row>
    <x:row r="41" ht="25" customHeight="1">
      <x:c r="B41" s="1" t="str">
        <x:v>Closing cash</x:v>
      </x:c>
      <x:c r="C41" s="7" t="n">
        <x:f>IF(C9=1,C21+C39-C40,"n.a.")</x:f>
        <x:v>3065</x:v>
      </x:c>
    </x:row>
    <x:row r="42" ht="25" customHeight="1">
      <x:c r="B42" s="1" t="str">
        <x:v>Closing uncollected sales</x:v>
      </x:c>
      <x:c r="C42" s="7" t="n">
        <x:f>IF(C9=1,C33*(1-C22),"n.a.")</x:f>
        <x:v>2250</x:v>
      </x:c>
    </x:row>
    <x:row r="43" ht="25" customHeight="1">
      <x:c r="B43" s="1"/>
      <x:c r="C43" s="1"/>
    </x:row>
    <x:row r="44" ht="25" customHeight="1">
      <x:c r="B44" s="1" t="str">
        <x:v>Fictional USD example. Owner pay is counted once; no tax or FX conversion.</x:v>
      </x:c>
      <x:c r="C44" s="1"/>
    </x:row>
    <x:row r="45" ht="25" customHeight="1">
      <x:c r="B45" s="1" t="str">
        <x:v>Cash assumes direct costs paid now; uncollected sales are not bank cash.</x:v>
      </x:c>
      <x:c r="C45" s="1"/>
    </x:row>
    <x:row r="46" ht="25" customHeight="1">
      <x:c r="B46" s="1" t="str">
        <x:v>Source: original MyBreakeven freelance planning example, October 24, 2026.</x:v>
      </x:c>
      <x:c r="C46" s="1"/>
    </x:row>
  </x:sheetData>
  <x:mergeCells>
    <x:mergeCell ref="B44:C44"/>
    <x:mergeCell ref="B45:C45"/>
    <x:mergeCell ref="B46:C46"/>
  </x:mergeCells>
  <x:dataValidations count="1">
    <x:dataValidation type="decimal" operator="greaterThanOrEqual" sqref="C10:C25">
      <x:formula1>0</x:formula1>
    </x:dataValidation>
  </x:dataValidations>
  <x:pageMargins left="0.7" right="0.7" top="0.75" bottom="0.75" header="0.3" footer="0.3"/>
</x:worksheet>
</file>