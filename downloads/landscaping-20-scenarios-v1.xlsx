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105e3f429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s" sheetId="1" r:id="Rfffcf2ded1114749"/>
    <x:sheet xmlns:r="http://schemas.openxmlformats.org/officeDocument/2006/relationships" name="Full data" sheetId="2" r:id="R96b4d1c6fddc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#############"/>
    <x:numFmt numFmtId="201" formatCode="@"/>
    <x:numFmt numFmtId="202" formatCode="$#,##0.00"/>
    <x:numFmt numFmtId="203" formatCode="0.00"/>
    <x:numFmt numFmtId="204" formatCode="0"/>
  </x:numFmts>
  <x:fonts count="5">
    <x:font>
      <x:sz val="11"/>
      <x:name val="Carlito"/>
    </x:font>
    <x:font>
      <x:sz val="11"/>
      <x:color rgb="FF183547"/>
      <x:name val="Arial"/>
    </x:font>
    <x:font>
      <x:b/>
      <x:sz val="16"/>
      <x:color rgb="FF173447"/>
      <x:name val="Arial"/>
    </x:font>
    <x:font>
      <x:b/>
      <x:sz val="16"/>
      <x:color rgb="FF1835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4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af1ceee1044dc" /><Relationship Type="http://schemas.openxmlformats.org/officeDocument/2006/relationships/theme" Target="/xl/theme/theme1.xml" Id="R728abae8ddfd4b22" /><Relationship Type="http://schemas.openxmlformats.org/officeDocument/2006/relationships/sharedStrings" Target="/xl/sharedStrings.xml" Id="R4a58b815356f475a" /><Relationship Type="http://schemas.openxmlformats.org/officeDocument/2006/relationships/worksheet" Target="/xl/worksheets/sheet1.xml" Id="Rfffcf2ded1114749" /><Relationship Type="http://schemas.openxmlformats.org/officeDocument/2006/relationships/worksheet" Target="/xl/worksheets/sheet2.xml" Id="R96b4d1c6fddc40b4" /></Relationships>
</file>

<file path=xl/tables/table1.xml><?xml version="1.0" encoding="utf-8"?>
<x:table xmlns:x="http://schemas.openxmlformats.org/spreadsheetml/2006/main" id="2" name="landscapingScenarios" displayName="landscapingScenarios" ref="A5:H25" headerRowCount="1" totalsRowCount="0" totalsRowShown="0">
  <x:tableColumns count="8">
    <x:tableColumn id="1" name="Scenario"/>
    <x:tableColumn id="2" name="Contribution/job ($)"/>
    <x:tableColumn id="3" name="Monthly funding ($)"/>
    <x:tableColumn id="4" name="Exact jobs"/>
    <x:tableColumn id="5" name="Whole jobs"/>
    <x:tableColumn id="6" name="Whole-job capacity"/>
    <x:tableColumn id="7" name="Whole-job gap"/>
    <x:tableColumn id="8" name="Whole-job sales ($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landscapingFullData" displayName="landscapingFullData" ref="A5:AD25" headerRowCount="1" totalsRowCount="0" totalsRowShown="0">
  <x:tableColumns count="30">
    <x:tableColumn id="1" name="scenario_id"/>
    <x:tableColumn id="2" name="method_version"/>
    <x:tableColumn id="3" name="engine_version"/>
    <x:tableColumn id="4" name="currency"/>
    <x:tableColumn id="5" name="period"/>
    <x:tableColumn id="6" name="materialCost"/>
    <x:tableColumn id="7" name="laborCost"/>
    <x:tableColumn id="8" name="otherVariableCost"/>
    <x:tableColumn id="9" name="acquisitionCost"/>
    <x:tableColumn id="10" name="fixedCosts"/>
    <x:tableColumn id="11" name="ownerPay"/>
    <x:tableColumn id="12" name="targetProfit"/>
    <x:tableColumn id="13" name="paymentFeePct"/>
    <x:tableColumn id="14" name="workers"/>
    <x:tableColumn id="15" name="hoursPerWorker"/>
    <x:tableColumn id="16" name="hoursPerJob"/>
    <x:tableColumn id="17" name="utilizationPct"/>
    <x:tableColumn id="18" name="conversionPct"/>
    <x:tableColumn id="19" name="price"/>
    <x:tableColumn id="20" name="open_days"/>
    <x:tableColumn id="21" name="contribution"/>
    <x:tableColumn id="22" name="monthly_funding"/>
    <x:tableColumn id="23" name="exact_units"/>
    <x:tableColumn id="24" name="whole_units"/>
    <x:tableColumn id="25" name="exact_revenue"/>
    <x:tableColumn id="26" name="whole_unit_revenue"/>
    <x:tableColumn id="27" name="exact_capacity"/>
    <x:tableColumn id="28" name="whole_capacity"/>
    <x:tableColumn id="29" name="whole_job_gap"/>
    <x:tableColumn id="30" name="daily_ord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131925cd9341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4e2474c667446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>
      <x:c r="A2" s="3" t="str">
        <x:v>Landscaping: 20 planning scenarios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>
      <x:c r="A3" s="2" t="str">
        <x:v>Fixed fictional examples, USD/month. These saved results are not an editable calculator.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 t="str">
        <x:v>Full data includes all original inputs and full-precision results. Use the website calculator for a new plan.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48" customHeight="1">
      <x:c r="A5" s="13" t="str">
        <x:v>Scenario</x:v>
      </x:c>
      <x:c r="B5" s="13" t="str">
        <x:v>Contribution/job ($)</x:v>
      </x:c>
      <x:c r="C5" s="13" t="str">
        <x:v>Monthly funding ($)</x:v>
      </x:c>
      <x:c r="D5" s="13" t="str">
        <x:v>Exact jobs</x:v>
      </x:c>
      <x:c r="E5" s="13" t="str">
        <x:v>Whole jobs</x:v>
      </x:c>
      <x:c r="F5" s="13" t="str">
        <x:v>Whole-job capacity</x:v>
      </x:c>
      <x:c r="G5" s="13" t="str">
        <x:v>Whole-job gap</x:v>
      </x:c>
      <x:c r="H5" s="13" t="str">
        <x:v>Whole-job sales ($)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5" customHeight="1">
      <x:c r="A6" s="2" t="str">
        <x:f>'Full data'!A6</x:f>
        <x:v>L80-8000</x:v>
      </x:c>
      <x:c r="B6" s="8" t="n">
        <x:f>'Full data'!U6</x:f>
        <x:v>80</x:v>
      </x:c>
      <x:c r="C6" s="8" t="n">
        <x:f>'Full data'!V6</x:f>
        <x:v>8000</x:v>
      </x:c>
      <x:c r="D6" s="9" t="n">
        <x:f>'Full data'!W6</x:f>
        <x:v>100</x:v>
      </x:c>
      <x:c r="E6" s="10" t="n">
        <x:f>'Full data'!X6</x:f>
        <x:v>100</x:v>
      </x:c>
      <x:c r="F6" s="10" t="n">
        <x:f>'Full data'!AB6</x:f>
        <x:v>94</x:v>
      </x:c>
      <x:c r="G6" s="10" t="n">
        <x:f>'Full data'!AC6</x:f>
        <x:v>-6</x:v>
      </x:c>
      <x:c r="H6" s="8" t="n">
        <x:f>'Full data'!Z6</x:f>
        <x:v>32000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5" customHeight="1">
      <x:c r="A7" s="2" t="str">
        <x:f>'Full data'!A7</x:f>
        <x:v>L80-9800</x:v>
      </x:c>
      <x:c r="B7" s="8" t="n">
        <x:f>'Full data'!U7</x:f>
        <x:v>80</x:v>
      </x:c>
      <x:c r="C7" s="8" t="n">
        <x:f>'Full data'!V7</x:f>
        <x:v>9800</x:v>
      </x:c>
      <x:c r="D7" s="9" t="n">
        <x:f>'Full data'!W7</x:f>
        <x:v>122.5</x:v>
      </x:c>
      <x:c r="E7" s="10" t="n">
        <x:f>'Full data'!X7</x:f>
        <x:v>123</x:v>
      </x:c>
      <x:c r="F7" s="10" t="n">
        <x:f>'Full data'!AB7</x:f>
        <x:v>94</x:v>
      </x:c>
      <x:c r="G7" s="10" t="n">
        <x:f>'Full data'!AC7</x:f>
        <x:v>-29</x:v>
      </x:c>
      <x:c r="H7" s="8" t="n">
        <x:f>'Full data'!Z7</x:f>
        <x:v>39360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5" customHeight="1">
      <x:c r="A8" s="2" t="str">
        <x:f>'Full data'!A8</x:f>
        <x:v>L80-11300</x:v>
      </x:c>
      <x:c r="B8" s="8" t="n">
        <x:f>'Full data'!U8</x:f>
        <x:v>80</x:v>
      </x:c>
      <x:c r="C8" s="8" t="n">
        <x:f>'Full data'!V8</x:f>
        <x:v>11300</x:v>
      </x:c>
      <x:c r="D8" s="9" t="n">
        <x:f>'Full data'!W8</x:f>
        <x:v>141.25</x:v>
      </x:c>
      <x:c r="E8" s="10" t="n">
        <x:f>'Full data'!X8</x:f>
        <x:v>142</x:v>
      </x:c>
      <x:c r="F8" s="10" t="n">
        <x:f>'Full data'!AB8</x:f>
        <x:v>94</x:v>
      </x:c>
      <x:c r="G8" s="10" t="n">
        <x:f>'Full data'!AC8</x:f>
        <x:v>-48</x:v>
      </x:c>
      <x:c r="H8" s="8" t="n">
        <x:f>'Full data'!Z8</x:f>
        <x:v>45440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 ht="25" customHeight="1">
      <x:c r="A9" s="2" t="str">
        <x:f>'Full data'!A9</x:f>
        <x:v>L80-12200</x:v>
      </x:c>
      <x:c r="B9" s="8" t="n">
        <x:f>'Full data'!U9</x:f>
        <x:v>80</x:v>
      </x:c>
      <x:c r="C9" s="8" t="n">
        <x:f>'Full data'!V9</x:f>
        <x:v>12200</x:v>
      </x:c>
      <x:c r="D9" s="9" t="n">
        <x:f>'Full data'!W9</x:f>
        <x:v>152.5</x:v>
      </x:c>
      <x:c r="E9" s="10" t="n">
        <x:f>'Full data'!X9</x:f>
        <x:v>153</x:v>
      </x:c>
      <x:c r="F9" s="10" t="n">
        <x:f>'Full data'!AB9</x:f>
        <x:v>94</x:v>
      </x:c>
      <x:c r="G9" s="10" t="n">
        <x:f>'Full data'!AC9</x:f>
        <x:v>-59</x:v>
      </x:c>
      <x:c r="H9" s="8" t="n">
        <x:f>'Full data'!Z9</x:f>
        <x:v>48960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5" customHeight="1">
      <x:c r="A10" s="2" t="str">
        <x:f>'Full data'!A10</x:f>
        <x:v>L80-14000</x:v>
      </x:c>
      <x:c r="B10" s="8" t="n">
        <x:f>'Full data'!U10</x:f>
        <x:v>80</x:v>
      </x:c>
      <x:c r="C10" s="8" t="n">
        <x:f>'Full data'!V10</x:f>
        <x:v>14000</x:v>
      </x:c>
      <x:c r="D10" s="9" t="n">
        <x:f>'Full data'!W10</x:f>
        <x:v>175</x:v>
      </x:c>
      <x:c r="E10" s="10" t="n">
        <x:f>'Full data'!X10</x:f>
        <x:v>175</x:v>
      </x:c>
      <x:c r="F10" s="10" t="n">
        <x:f>'Full data'!AB10</x:f>
        <x:v>94</x:v>
      </x:c>
      <x:c r="G10" s="10" t="n">
        <x:f>'Full data'!AC10</x:f>
        <x:v>-81</x:v>
      </x:c>
      <x:c r="H10" s="8" t="n">
        <x:f>'Full data'!Z10</x:f>
        <x:v>56000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25" customHeight="1">
      <x:c r="A11" s="2" t="str">
        <x:f>'Full data'!A11</x:f>
        <x:v>L100-8000</x:v>
      </x:c>
      <x:c r="B11" s="8" t="n">
        <x:f>'Full data'!U11</x:f>
        <x:v>100</x:v>
      </x:c>
      <x:c r="C11" s="8" t="n">
        <x:f>'Full data'!V11</x:f>
        <x:v>8000</x:v>
      </x:c>
      <x:c r="D11" s="9" t="n">
        <x:f>'Full data'!W11</x:f>
        <x:v>80</x:v>
      </x:c>
      <x:c r="E11" s="10" t="n">
        <x:f>'Full data'!X11</x:f>
        <x:v>80</x:v>
      </x:c>
      <x:c r="F11" s="10" t="n">
        <x:f>'Full data'!AB11</x:f>
        <x:v>94</x:v>
      </x:c>
      <x:c r="G11" s="10" t="n">
        <x:f>'Full data'!AC11</x:f>
        <x:v>14</x:v>
      </x:c>
      <x:c r="H11" s="8" t="n">
        <x:f>'Full data'!Z11</x:f>
        <x:v>25600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5" customHeight="1">
      <x:c r="A12" s="2" t="str">
        <x:f>'Full data'!A12</x:f>
        <x:v>L100-9800</x:v>
      </x:c>
      <x:c r="B12" s="8" t="n">
        <x:f>'Full data'!U12</x:f>
        <x:v>100</x:v>
      </x:c>
      <x:c r="C12" s="8" t="n">
        <x:f>'Full data'!V12</x:f>
        <x:v>9800</x:v>
      </x:c>
      <x:c r="D12" s="9" t="n">
        <x:f>'Full data'!W12</x:f>
        <x:v>98</x:v>
      </x:c>
      <x:c r="E12" s="10" t="n">
        <x:f>'Full data'!X12</x:f>
        <x:v>98</x:v>
      </x:c>
      <x:c r="F12" s="10" t="n">
        <x:f>'Full data'!AB12</x:f>
        <x:v>94</x:v>
      </x:c>
      <x:c r="G12" s="10" t="n">
        <x:f>'Full data'!AC12</x:f>
        <x:v>-4</x:v>
      </x:c>
      <x:c r="H12" s="8" t="n">
        <x:f>'Full data'!Z12</x:f>
        <x:v>31360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25" customHeight="1">
      <x:c r="A13" s="2" t="str">
        <x:f>'Full data'!A13</x:f>
        <x:v>L100-11300</x:v>
      </x:c>
      <x:c r="B13" s="8" t="n">
        <x:f>'Full data'!U13</x:f>
        <x:v>100</x:v>
      </x:c>
      <x:c r="C13" s="8" t="n">
        <x:f>'Full data'!V13</x:f>
        <x:v>11300</x:v>
      </x:c>
      <x:c r="D13" s="9" t="n">
        <x:f>'Full data'!W13</x:f>
        <x:v>113</x:v>
      </x:c>
      <x:c r="E13" s="10" t="n">
        <x:f>'Full data'!X13</x:f>
        <x:v>113</x:v>
      </x:c>
      <x:c r="F13" s="10" t="n">
        <x:f>'Full data'!AB13</x:f>
        <x:v>94</x:v>
      </x:c>
      <x:c r="G13" s="10" t="n">
        <x:f>'Full data'!AC13</x:f>
        <x:v>-19</x:v>
      </x:c>
      <x:c r="H13" s="8" t="n">
        <x:f>'Full data'!Z13</x:f>
        <x:v>36160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25" customHeight="1">
      <x:c r="A14" s="2" t="str">
        <x:f>'Full data'!A14</x:f>
        <x:v>L100-12200</x:v>
      </x:c>
      <x:c r="B14" s="8" t="n">
        <x:f>'Full data'!U14</x:f>
        <x:v>100</x:v>
      </x:c>
      <x:c r="C14" s="8" t="n">
        <x:f>'Full data'!V14</x:f>
        <x:v>12200</x:v>
      </x:c>
      <x:c r="D14" s="9" t="n">
        <x:f>'Full data'!W14</x:f>
        <x:v>122</x:v>
      </x:c>
      <x:c r="E14" s="10" t="n">
        <x:f>'Full data'!X14</x:f>
        <x:v>122</x:v>
      </x:c>
      <x:c r="F14" s="10" t="n">
        <x:f>'Full data'!AB14</x:f>
        <x:v>94</x:v>
      </x:c>
      <x:c r="G14" s="10" t="n">
        <x:f>'Full data'!AC14</x:f>
        <x:v>-28</x:v>
      </x:c>
      <x:c r="H14" s="8" t="n">
        <x:f>'Full data'!Z14</x:f>
        <x:v>39040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5" customHeight="1">
      <x:c r="A15" s="2" t="str">
        <x:f>'Full data'!A15</x:f>
        <x:v>L100-14000</x:v>
      </x:c>
      <x:c r="B15" s="8" t="n">
        <x:f>'Full data'!U15</x:f>
        <x:v>100</x:v>
      </x:c>
      <x:c r="C15" s="8" t="n">
        <x:f>'Full data'!V15</x:f>
        <x:v>14000</x:v>
      </x:c>
      <x:c r="D15" s="9" t="n">
        <x:f>'Full data'!W15</x:f>
        <x:v>140</x:v>
      </x:c>
      <x:c r="E15" s="10" t="n">
        <x:f>'Full data'!X15</x:f>
        <x:v>140</x:v>
      </x:c>
      <x:c r="F15" s="10" t="n">
        <x:f>'Full data'!AB15</x:f>
        <x:v>94</x:v>
      </x:c>
      <x:c r="G15" s="10" t="n">
        <x:f>'Full data'!AC15</x:f>
        <x:v>-46</x:v>
      </x:c>
      <x:c r="H15" s="8" t="n">
        <x:f>'Full data'!Z15</x:f>
        <x:v>44800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5" customHeight="1">
      <x:c r="A16" s="2" t="str">
        <x:f>'Full data'!A16</x:f>
        <x:v>L110.72-8000</x:v>
      </x:c>
      <x:c r="B16" s="8" t="n">
        <x:f>'Full data'!U16</x:f>
        <x:v>110.72</x:v>
      </x:c>
      <x:c r="C16" s="8" t="n">
        <x:f>'Full data'!V16</x:f>
        <x:v>8000</x:v>
      </x:c>
      <x:c r="D16" s="9" t="n">
        <x:f>'Full data'!W16</x:f>
        <x:v>72.25433526011561</x:v>
      </x:c>
      <x:c r="E16" s="10" t="n">
        <x:f>'Full data'!X16</x:f>
        <x:v>73</x:v>
      </x:c>
      <x:c r="F16" s="10" t="n">
        <x:f>'Full data'!AB16</x:f>
        <x:v>94</x:v>
      </x:c>
      <x:c r="G16" s="10" t="n">
        <x:f>'Full data'!AC16</x:f>
        <x:v>21</x:v>
      </x:c>
      <x:c r="H16" s="8" t="n">
        <x:f>'Full data'!Z16</x:f>
        <x:v>23360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25" customHeight="1">
      <x:c r="A17" s="2" t="str">
        <x:f>'Full data'!A17</x:f>
        <x:v>L110.72-9800</x:v>
      </x:c>
      <x:c r="B17" s="8" t="n">
        <x:f>'Full data'!U17</x:f>
        <x:v>110.72</x:v>
      </x:c>
      <x:c r="C17" s="8" t="n">
        <x:f>'Full data'!V17</x:f>
        <x:v>9800</x:v>
      </x:c>
      <x:c r="D17" s="9" t="n">
        <x:f>'Full data'!W17</x:f>
        <x:v>88.51156069364161</x:v>
      </x:c>
      <x:c r="E17" s="10" t="n">
        <x:f>'Full data'!X17</x:f>
        <x:v>89</x:v>
      </x:c>
      <x:c r="F17" s="10" t="n">
        <x:f>'Full data'!AB17</x:f>
        <x:v>94</x:v>
      </x:c>
      <x:c r="G17" s="10" t="n">
        <x:f>'Full data'!AC17</x:f>
        <x:v>5</x:v>
      </x:c>
      <x:c r="H17" s="8" t="n">
        <x:f>'Full data'!Z17</x:f>
        <x:v>28480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5" customHeight="1">
      <x:c r="A18" s="2" t="str">
        <x:f>'Full data'!A18</x:f>
        <x:v>L110.72-11300</x:v>
      </x:c>
      <x:c r="B18" s="8" t="n">
        <x:f>'Full data'!U18</x:f>
        <x:v>110.72</x:v>
      </x:c>
      <x:c r="C18" s="8" t="n">
        <x:f>'Full data'!V18</x:f>
        <x:v>11300</x:v>
      </x:c>
      <x:c r="D18" s="9" t="n">
        <x:f>'Full data'!W18</x:f>
        <x:v>102.0592485549133</x:v>
      </x:c>
      <x:c r="E18" s="10" t="n">
        <x:f>'Full data'!X18</x:f>
        <x:v>103</x:v>
      </x:c>
      <x:c r="F18" s="10" t="n">
        <x:f>'Full data'!AB18</x:f>
        <x:v>94</x:v>
      </x:c>
      <x:c r="G18" s="10" t="n">
        <x:f>'Full data'!AC18</x:f>
        <x:v>-9</x:v>
      </x:c>
      <x:c r="H18" s="8" t="n">
        <x:f>'Full data'!Z18</x:f>
        <x:v>32960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5" customHeight="1">
      <x:c r="A19" s="2" t="str">
        <x:f>'Full data'!A19</x:f>
        <x:v>L110.72-12200</x:v>
      </x:c>
      <x:c r="B19" s="8" t="n">
        <x:f>'Full data'!U19</x:f>
        <x:v>110.72</x:v>
      </x:c>
      <x:c r="C19" s="8" t="n">
        <x:f>'Full data'!V19</x:f>
        <x:v>12200</x:v>
      </x:c>
      <x:c r="D19" s="9" t="n">
        <x:f>'Full data'!W19</x:f>
        <x:v>110.1878612716763</x:v>
      </x:c>
      <x:c r="E19" s="10" t="n">
        <x:f>'Full data'!X19</x:f>
        <x:v>111</x:v>
      </x:c>
      <x:c r="F19" s="10" t="n">
        <x:f>'Full data'!AB19</x:f>
        <x:v>94</x:v>
      </x:c>
      <x:c r="G19" s="10" t="n">
        <x:f>'Full data'!AC19</x:f>
        <x:v>-17</x:v>
      </x:c>
      <x:c r="H19" s="8" t="n">
        <x:f>'Full data'!Z19</x:f>
        <x:v>35520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25" customHeight="1">
      <x:c r="A20" s="2" t="str">
        <x:f>'Full data'!A20</x:f>
        <x:v>L110.72-14000</x:v>
      </x:c>
      <x:c r="B20" s="8" t="n">
        <x:f>'Full data'!U20</x:f>
        <x:v>110.72</x:v>
      </x:c>
      <x:c r="C20" s="8" t="n">
        <x:f>'Full data'!V20</x:f>
        <x:v>14000</x:v>
      </x:c>
      <x:c r="D20" s="9" t="n">
        <x:f>'Full data'!W20</x:f>
        <x:v>126.44508670520231</x:v>
      </x:c>
      <x:c r="E20" s="10" t="n">
        <x:f>'Full data'!X20</x:f>
        <x:v>127</x:v>
      </x:c>
      <x:c r="F20" s="10" t="n">
        <x:f>'Full data'!AB20</x:f>
        <x:v>94</x:v>
      </x:c>
      <x:c r="G20" s="10" t="n">
        <x:f>'Full data'!AC20</x:f>
        <x:v>-33</x:v>
      </x:c>
      <x:c r="H20" s="8" t="n">
        <x:f>'Full data'!Z20</x:f>
        <x:v>40640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25" customHeight="1">
      <x:c r="A21" s="2" t="str">
        <x:f>'Full data'!A21</x:f>
        <x:v>L120-8000</x:v>
      </x:c>
      <x:c r="B21" s="8" t="n">
        <x:f>'Full data'!U21</x:f>
        <x:v>120</x:v>
      </x:c>
      <x:c r="C21" s="8" t="n">
        <x:f>'Full data'!V21</x:f>
        <x:v>8000</x:v>
      </x:c>
      <x:c r="D21" s="9" t="n">
        <x:f>'Full data'!W21</x:f>
        <x:v>66.66666666666667</x:v>
      </x:c>
      <x:c r="E21" s="10" t="n">
        <x:f>'Full data'!X21</x:f>
        <x:v>67</x:v>
      </x:c>
      <x:c r="F21" s="10" t="n">
        <x:f>'Full data'!AB21</x:f>
        <x:v>94</x:v>
      </x:c>
      <x:c r="G21" s="10" t="n">
        <x:f>'Full data'!AC21</x:f>
        <x:v>27</x:v>
      </x:c>
      <x:c r="H21" s="8" t="n">
        <x:f>'Full data'!Z21</x:f>
        <x:v>21440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5" customHeight="1">
      <x:c r="A22" s="2" t="str">
        <x:f>'Full data'!A22</x:f>
        <x:v>L120-9800</x:v>
      </x:c>
      <x:c r="B22" s="8" t="n">
        <x:f>'Full data'!U22</x:f>
        <x:v>120</x:v>
      </x:c>
      <x:c r="C22" s="8" t="n">
        <x:f>'Full data'!V22</x:f>
        <x:v>9800</x:v>
      </x:c>
      <x:c r="D22" s="9" t="n">
        <x:f>'Full data'!W22</x:f>
        <x:v>81.66666666666667</x:v>
      </x:c>
      <x:c r="E22" s="10" t="n">
        <x:f>'Full data'!X22</x:f>
        <x:v>82</x:v>
      </x:c>
      <x:c r="F22" s="10" t="n">
        <x:f>'Full data'!AB22</x:f>
        <x:v>94</x:v>
      </x:c>
      <x:c r="G22" s="10" t="n">
        <x:f>'Full data'!AC22</x:f>
        <x:v>12</x:v>
      </x:c>
      <x:c r="H22" s="8" t="n">
        <x:f>'Full data'!Z22</x:f>
        <x:v>26240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25" customHeight="1">
      <x:c r="A23" s="2" t="str">
        <x:f>'Full data'!A23</x:f>
        <x:v>L120-11300</x:v>
      </x:c>
      <x:c r="B23" s="8" t="n">
        <x:f>'Full data'!U23</x:f>
        <x:v>120</x:v>
      </x:c>
      <x:c r="C23" s="8" t="n">
        <x:f>'Full data'!V23</x:f>
        <x:v>11300</x:v>
      </x:c>
      <x:c r="D23" s="9" t="n">
        <x:f>'Full data'!W23</x:f>
        <x:v>94.16666666666667</x:v>
      </x:c>
      <x:c r="E23" s="10" t="n">
        <x:f>'Full data'!X23</x:f>
        <x:v>95</x:v>
      </x:c>
      <x:c r="F23" s="10" t="n">
        <x:f>'Full data'!AB23</x:f>
        <x:v>94</x:v>
      </x:c>
      <x:c r="G23" s="10" t="n">
        <x:f>'Full data'!AC23</x:f>
        <x:v>-1</x:v>
      </x:c>
      <x:c r="H23" s="8" t="n">
        <x:f>'Full data'!Z23</x:f>
        <x:v>30400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5" customHeight="1">
      <x:c r="A24" s="2" t="str">
        <x:f>'Full data'!A24</x:f>
        <x:v>L120-12200</x:v>
      </x:c>
      <x:c r="B24" s="8" t="n">
        <x:f>'Full data'!U24</x:f>
        <x:v>120</x:v>
      </x:c>
      <x:c r="C24" s="8" t="n">
        <x:f>'Full data'!V24</x:f>
        <x:v>12200</x:v>
      </x:c>
      <x:c r="D24" s="9" t="n">
        <x:f>'Full data'!W24</x:f>
        <x:v>101.66666666666667</x:v>
      </x:c>
      <x:c r="E24" s="10" t="n">
        <x:f>'Full data'!X24</x:f>
        <x:v>102</x:v>
      </x:c>
      <x:c r="F24" s="10" t="n">
        <x:f>'Full data'!AB24</x:f>
        <x:v>94</x:v>
      </x:c>
      <x:c r="G24" s="10" t="n">
        <x:f>'Full data'!AC24</x:f>
        <x:v>-8</x:v>
      </x:c>
      <x:c r="H24" s="8" t="n">
        <x:f>'Full data'!Z24</x:f>
        <x:v>32640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25" customHeight="1">
      <x:c r="A25" s="2" t="str">
        <x:f>'Full data'!A25</x:f>
        <x:v>L120-14000</x:v>
      </x:c>
      <x:c r="B25" s="8" t="n">
        <x:f>'Full data'!U25</x:f>
        <x:v>120</x:v>
      </x:c>
      <x:c r="C25" s="8" t="n">
        <x:f>'Full data'!V25</x:f>
        <x:v>14000</x:v>
      </x:c>
      <x:c r="D25" s="9" t="n">
        <x:f>'Full data'!W25</x:f>
        <x:v>116.66666666666667</x:v>
      </x:c>
      <x:c r="E25" s="10" t="n">
        <x:f>'Full data'!X25</x:f>
        <x:v>117</x:v>
      </x:c>
      <x:c r="F25" s="10" t="n">
        <x:f>'Full data'!AB25</x:f>
        <x:v>94</x:v>
      </x:c>
      <x:c r="G25" s="10" t="n">
        <x:f>'Full data'!AC25</x:f>
        <x:v>-23</x:v>
      </x:c>
      <x:c r="H25" s="8" t="n">
        <x:f>'Full data'!Z25</x:f>
        <x:v>37440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</x:sheetData>
  <x:pageMargins left="0.7" right="0.7" top="0.75" bottom="0.75" header="0.3" footer="0.3"/>
  <x:tableParts count="1">
    <x:tablePart xmlns:r="http://schemas.openxmlformats.org/officeDocument/2006/relationships" r:id="R49131925cd93410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>
      <x:c r="A2" s="4" t="str">
        <x:v>Original scenario inputs and saved results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>
      <x:c r="A3" s="2" t="str">
        <x:v>Source: https://mybreakeven.com/downloads/landscaping-20-scenarios-v1.csv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 t="str">
        <x:v>Raw percentage inputs use whole percentages (4 means 4%). Blank open_days/daily_orders are not applicable.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48" customHeight="1">
      <x:c r="A5" s="13" t="str">
        <x:v>scenario_id</x:v>
      </x:c>
      <x:c r="B5" s="13" t="str">
        <x:v>method_version</x:v>
      </x:c>
      <x:c r="C5" s="13" t="str">
        <x:v>engine_version</x:v>
      </x:c>
      <x:c r="D5" s="13" t="str">
        <x:v>currency</x:v>
      </x:c>
      <x:c r="E5" s="13" t="str">
        <x:v>period</x:v>
      </x:c>
      <x:c r="F5" s="13" t="str">
        <x:v>materialCost</x:v>
      </x:c>
      <x:c r="G5" s="13" t="str">
        <x:v>laborCost</x:v>
      </x:c>
      <x:c r="H5" s="13" t="str">
        <x:v>otherVariableCost</x:v>
      </x:c>
      <x:c r="I5" s="13" t="str">
        <x:v>acquisitionCost</x:v>
      </x:c>
      <x:c r="J5" s="13" t="str">
        <x:v>fixedCosts</x:v>
      </x:c>
      <x:c r="K5" s="13" t="str">
        <x:v>ownerPay</x:v>
      </x:c>
      <x:c r="L5" s="13" t="str">
        <x:v>targetProfit</x:v>
      </x:c>
      <x:c r="M5" s="13" t="str">
        <x:v>paymentFeePct</x:v>
      </x:c>
      <x:c r="N5" s="13" t="str">
        <x:v>workers</x:v>
      </x:c>
      <x:c r="O5" s="13" t="str">
        <x:v>hoursPerWorker</x:v>
      </x:c>
      <x:c r="P5" s="13" t="str">
        <x:v>hoursPerJob</x:v>
      </x:c>
      <x:c r="Q5" s="13" t="str">
        <x:v>utilizationPct</x:v>
      </x:c>
      <x:c r="R5" s="13" t="str">
        <x:v>conversionPct</x:v>
      </x:c>
      <x:c r="S5" s="13" t="str">
        <x:v>price</x:v>
      </x:c>
      <x:c r="T5" s="13" t="str">
        <x:v>open_days</x:v>
      </x:c>
      <x:c r="U5" s="13" t="str">
        <x:v>contribution</x:v>
      </x:c>
      <x:c r="V5" s="13" t="str">
        <x:v>monthly_funding</x:v>
      </x:c>
      <x:c r="W5" s="13" t="str">
        <x:v>exact_units</x:v>
      </x:c>
      <x:c r="X5" s="13" t="str">
        <x:v>whole_units</x:v>
      </x:c>
      <x:c r="Y5" s="13" t="str">
        <x:v>exact_revenue</x:v>
      </x:c>
      <x:c r="Z5" s="13" t="str">
        <x:v>whole_unit_revenue</x:v>
      </x:c>
      <x:c r="AA5" s="13" t="str">
        <x:v>exact_capacity</x:v>
      </x:c>
      <x:c r="AB5" s="13" t="str">
        <x:v>whole_capacity</x:v>
      </x:c>
      <x:c r="AC5" s="13" t="str">
        <x:v>whole_job_gap</x:v>
      </x:c>
      <x:c r="AD5" s="13" t="str">
        <x:v>daily_orders</x:v>
      </x:c>
    </x:row>
    <x:row r="6" ht="24" customHeight="1">
      <x:c r="A6" s="2" t="str">
        <x:v>L80-8000</x:v>
      </x:c>
      <x:c r="B6" s="7" t="str">
        <x:v>1.0</x:v>
      </x:c>
      <x:c r="C6" s="7" t="str">
        <x:v>1.3.1</x:v>
      </x:c>
      <x:c r="D6" s="2" t="str">
        <x:v>USD</x:v>
      </x:c>
      <x:c r="E6" s="2" t="str">
        <x:v>monthly</x:v>
      </x:c>
      <x:c r="F6" s="6" t="n">
        <x:v>62</x:v>
      </x:c>
      <x:c r="G6" s="6" t="n">
        <x:v>96</x:v>
      </x:c>
      <x:c r="H6" s="6" t="n">
        <x:v>54.72</x:v>
      </x:c>
      <x:c r="I6" s="6" t="n">
        <x:v>18</x:v>
      </x:c>
      <x:c r="J6" s="6" t="n">
        <x:v>1500</x:v>
      </x:c>
      <x:c r="K6" s="6" t="n">
        <x:v>5000</x:v>
      </x:c>
      <x:c r="L6" s="6" t="n">
        <x:v>1500</x:v>
      </x:c>
      <x:c r="M6" s="6" t="n">
        <x:v>2.9</x:v>
      </x:c>
      <x:c r="N6" s="6" t="n">
        <x:v>4</x:v>
      </x:c>
      <x:c r="O6" s="6" t="n">
        <x:v>38</x:v>
      </x:c>
      <x:c r="P6" s="6" t="n">
        <x:v>5</x:v>
      </x:c>
      <x:c r="Q6" s="6" t="n">
        <x:v>72</x:v>
      </x:c>
      <x:c r="R6" s="6" t="n">
        <x:v>28</x:v>
      </x:c>
      <x:c r="S6" s="6" t="n">
        <x:v>320</x:v>
      </x:c>
      <x:c r="T6" s="6"/>
      <x:c r="U6" s="6" t="n">
        <x:v>80</x:v>
      </x:c>
      <x:c r="V6" s="6" t="n">
        <x:v>8000</x:v>
      </x:c>
      <x:c r="W6" s="6" t="n">
        <x:v>100</x:v>
      </x:c>
      <x:c r="X6" s="6" t="n">
        <x:v>100</x:v>
      </x:c>
      <x:c r="Y6" s="6" t="n">
        <x:v>32000</x:v>
      </x:c>
      <x:c r="Z6" s="6" t="n">
        <x:v>32000</x:v>
      </x:c>
      <x:c r="AA6" s="6" t="n">
        <x:v>94.848</x:v>
      </x:c>
      <x:c r="AB6" s="6" t="n">
        <x:v>94</x:v>
      </x:c>
      <x:c r="AC6" s="6" t="n">
        <x:v>-6</x:v>
      </x:c>
      <x:c r="AD6" s="6"/>
    </x:row>
    <x:row r="7" ht="24" customHeight="1">
      <x:c r="A7" s="2" t="str">
        <x:v>L80-9800</x:v>
      </x:c>
      <x:c r="B7" s="7" t="str">
        <x:v>1.0</x:v>
      </x:c>
      <x:c r="C7" s="7" t="str">
        <x:v>1.3.1</x:v>
      </x:c>
      <x:c r="D7" s="2" t="str">
        <x:v>USD</x:v>
      </x:c>
      <x:c r="E7" s="2" t="str">
        <x:v>monthly</x:v>
      </x:c>
      <x:c r="F7" s="6" t="n">
        <x:v>62</x:v>
      </x:c>
      <x:c r="G7" s="6" t="n">
        <x:v>96</x:v>
      </x:c>
      <x:c r="H7" s="6" t="n">
        <x:v>54.72</x:v>
      </x:c>
      <x:c r="I7" s="6" t="n">
        <x:v>18</x:v>
      </x:c>
      <x:c r="J7" s="6" t="n">
        <x:v>3300</x:v>
      </x:c>
      <x:c r="K7" s="6" t="n">
        <x:v>5000</x:v>
      </x:c>
      <x:c r="L7" s="6" t="n">
        <x:v>1500</x:v>
      </x:c>
      <x:c r="M7" s="6" t="n">
        <x:v>2.9</x:v>
      </x:c>
      <x:c r="N7" s="6" t="n">
        <x:v>4</x:v>
      </x:c>
      <x:c r="O7" s="6" t="n">
        <x:v>38</x:v>
      </x:c>
      <x:c r="P7" s="6" t="n">
        <x:v>5</x:v>
      </x:c>
      <x:c r="Q7" s="6" t="n">
        <x:v>72</x:v>
      </x:c>
      <x:c r="R7" s="6" t="n">
        <x:v>28</x:v>
      </x:c>
      <x:c r="S7" s="6" t="n">
        <x:v>320</x:v>
      </x:c>
      <x:c r="T7" s="6"/>
      <x:c r="U7" s="6" t="n">
        <x:v>80</x:v>
      </x:c>
      <x:c r="V7" s="6" t="n">
        <x:v>9800</x:v>
      </x:c>
      <x:c r="W7" s="6" t="n">
        <x:v>122.5</x:v>
      </x:c>
      <x:c r="X7" s="6" t="n">
        <x:v>123</x:v>
      </x:c>
      <x:c r="Y7" s="6" t="n">
        <x:v>39200</x:v>
      </x:c>
      <x:c r="Z7" s="6" t="n">
        <x:v>39360</x:v>
      </x:c>
      <x:c r="AA7" s="6" t="n">
        <x:v>94.848</x:v>
      </x:c>
      <x:c r="AB7" s="6" t="n">
        <x:v>94</x:v>
      </x:c>
      <x:c r="AC7" s="6" t="n">
        <x:v>-29</x:v>
      </x:c>
      <x:c r="AD7" s="6"/>
    </x:row>
    <x:row r="8" ht="24" customHeight="1">
      <x:c r="A8" s="2" t="str">
        <x:v>L80-11300</x:v>
      </x:c>
      <x:c r="B8" s="7" t="str">
        <x:v>1.0</x:v>
      </x:c>
      <x:c r="C8" s="7" t="str">
        <x:v>1.3.1</x:v>
      </x:c>
      <x:c r="D8" s="2" t="str">
        <x:v>USD</x:v>
      </x:c>
      <x:c r="E8" s="2" t="str">
        <x:v>monthly</x:v>
      </x:c>
      <x:c r="F8" s="6" t="n">
        <x:v>62</x:v>
      </x:c>
      <x:c r="G8" s="6" t="n">
        <x:v>96</x:v>
      </x:c>
      <x:c r="H8" s="6" t="n">
        <x:v>54.72</x:v>
      </x:c>
      <x:c r="I8" s="6" t="n">
        <x:v>18</x:v>
      </x:c>
      <x:c r="J8" s="6" t="n">
        <x:v>4800</x:v>
      </x:c>
      <x:c r="K8" s="6" t="n">
        <x:v>5000</x:v>
      </x:c>
      <x:c r="L8" s="6" t="n">
        <x:v>1500</x:v>
      </x:c>
      <x:c r="M8" s="6" t="n">
        <x:v>2.9</x:v>
      </x:c>
      <x:c r="N8" s="6" t="n">
        <x:v>4</x:v>
      </x:c>
      <x:c r="O8" s="6" t="n">
        <x:v>38</x:v>
      </x:c>
      <x:c r="P8" s="6" t="n">
        <x:v>5</x:v>
      </x:c>
      <x:c r="Q8" s="6" t="n">
        <x:v>72</x:v>
      </x:c>
      <x:c r="R8" s="6" t="n">
        <x:v>28</x:v>
      </x:c>
      <x:c r="S8" s="6" t="n">
        <x:v>320</x:v>
      </x:c>
      <x:c r="T8" s="6"/>
      <x:c r="U8" s="6" t="n">
        <x:v>80</x:v>
      </x:c>
      <x:c r="V8" s="6" t="n">
        <x:v>11300</x:v>
      </x:c>
      <x:c r="W8" s="6" t="n">
        <x:v>141.25</x:v>
      </x:c>
      <x:c r="X8" s="6" t="n">
        <x:v>142</x:v>
      </x:c>
      <x:c r="Y8" s="6" t="n">
        <x:v>45200</x:v>
      </x:c>
      <x:c r="Z8" s="6" t="n">
        <x:v>45440</x:v>
      </x:c>
      <x:c r="AA8" s="6" t="n">
        <x:v>94.848</x:v>
      </x:c>
      <x:c r="AB8" s="6" t="n">
        <x:v>94</x:v>
      </x:c>
      <x:c r="AC8" s="6" t="n">
        <x:v>-48</x:v>
      </x:c>
      <x:c r="AD8" s="6"/>
    </x:row>
    <x:row r="9" ht="24" customHeight="1">
      <x:c r="A9" s="2" t="str">
        <x:v>L80-12200</x:v>
      </x:c>
      <x:c r="B9" s="7" t="str">
        <x:v>1.0</x:v>
      </x:c>
      <x:c r="C9" s="7" t="str">
        <x:v>1.3.1</x:v>
      </x:c>
      <x:c r="D9" s="2" t="str">
        <x:v>USD</x:v>
      </x:c>
      <x:c r="E9" s="2" t="str">
        <x:v>monthly</x:v>
      </x:c>
      <x:c r="F9" s="6" t="n">
        <x:v>62</x:v>
      </x:c>
      <x:c r="G9" s="6" t="n">
        <x:v>96</x:v>
      </x:c>
      <x:c r="H9" s="6" t="n">
        <x:v>54.72</x:v>
      </x:c>
      <x:c r="I9" s="6" t="n">
        <x:v>18</x:v>
      </x:c>
      <x:c r="J9" s="6" t="n">
        <x:v>5700</x:v>
      </x:c>
      <x:c r="K9" s="6" t="n">
        <x:v>5000</x:v>
      </x:c>
      <x:c r="L9" s="6" t="n">
        <x:v>1500</x:v>
      </x:c>
      <x:c r="M9" s="6" t="n">
        <x:v>2.9</x:v>
      </x:c>
      <x:c r="N9" s="6" t="n">
        <x:v>4</x:v>
      </x:c>
      <x:c r="O9" s="6" t="n">
        <x:v>38</x:v>
      </x:c>
      <x:c r="P9" s="6" t="n">
        <x:v>5</x:v>
      </x:c>
      <x:c r="Q9" s="6" t="n">
        <x:v>72</x:v>
      </x:c>
      <x:c r="R9" s="6" t="n">
        <x:v>28</x:v>
      </x:c>
      <x:c r="S9" s="6" t="n">
        <x:v>320</x:v>
      </x:c>
      <x:c r="T9" s="6"/>
      <x:c r="U9" s="6" t="n">
        <x:v>80</x:v>
      </x:c>
      <x:c r="V9" s="6" t="n">
        <x:v>12200</x:v>
      </x:c>
      <x:c r="W9" s="6" t="n">
        <x:v>152.5</x:v>
      </x:c>
      <x:c r="X9" s="6" t="n">
        <x:v>153</x:v>
      </x:c>
      <x:c r="Y9" s="6" t="n">
        <x:v>48800</x:v>
      </x:c>
      <x:c r="Z9" s="6" t="n">
        <x:v>48960</x:v>
      </x:c>
      <x:c r="AA9" s="6" t="n">
        <x:v>94.848</x:v>
      </x:c>
      <x:c r="AB9" s="6" t="n">
        <x:v>94</x:v>
      </x:c>
      <x:c r="AC9" s="6" t="n">
        <x:v>-59</x:v>
      </x:c>
      <x:c r="AD9" s="6"/>
    </x:row>
    <x:row r="10" ht="24" customHeight="1">
      <x:c r="A10" s="2" t="str">
        <x:v>L80-14000</x:v>
      </x:c>
      <x:c r="B10" s="7" t="str">
        <x:v>1.0</x:v>
      </x:c>
      <x:c r="C10" s="7" t="str">
        <x:v>1.3.1</x:v>
      </x:c>
      <x:c r="D10" s="2" t="str">
        <x:v>USD</x:v>
      </x:c>
      <x:c r="E10" s="2" t="str">
        <x:v>monthly</x:v>
      </x:c>
      <x:c r="F10" s="6" t="n">
        <x:v>62</x:v>
      </x:c>
      <x:c r="G10" s="6" t="n">
        <x:v>96</x:v>
      </x:c>
      <x:c r="H10" s="6" t="n">
        <x:v>54.72</x:v>
      </x:c>
      <x:c r="I10" s="6" t="n">
        <x:v>18</x:v>
      </x:c>
      <x:c r="J10" s="6" t="n">
        <x:v>7500</x:v>
      </x:c>
      <x:c r="K10" s="6" t="n">
        <x:v>5000</x:v>
      </x:c>
      <x:c r="L10" s="6" t="n">
        <x:v>1500</x:v>
      </x:c>
      <x:c r="M10" s="6" t="n">
        <x:v>2.9</x:v>
      </x:c>
      <x:c r="N10" s="6" t="n">
        <x:v>4</x:v>
      </x:c>
      <x:c r="O10" s="6" t="n">
        <x:v>38</x:v>
      </x:c>
      <x:c r="P10" s="6" t="n">
        <x:v>5</x:v>
      </x:c>
      <x:c r="Q10" s="6" t="n">
        <x:v>72</x:v>
      </x:c>
      <x:c r="R10" s="6" t="n">
        <x:v>28</x:v>
      </x:c>
      <x:c r="S10" s="6" t="n">
        <x:v>320</x:v>
      </x:c>
      <x:c r="T10" s="6"/>
      <x:c r="U10" s="6" t="n">
        <x:v>80</x:v>
      </x:c>
      <x:c r="V10" s="6" t="n">
        <x:v>14000</x:v>
      </x:c>
      <x:c r="W10" s="6" t="n">
        <x:v>175</x:v>
      </x:c>
      <x:c r="X10" s="6" t="n">
        <x:v>175</x:v>
      </x:c>
      <x:c r="Y10" s="6" t="n">
        <x:v>56000</x:v>
      </x:c>
      <x:c r="Z10" s="6" t="n">
        <x:v>56000</x:v>
      </x:c>
      <x:c r="AA10" s="6" t="n">
        <x:v>94.848</x:v>
      </x:c>
      <x:c r="AB10" s="6" t="n">
        <x:v>94</x:v>
      </x:c>
      <x:c r="AC10" s="6" t="n">
        <x:v>-81</x:v>
      </x:c>
      <x:c r="AD10" s="6"/>
    </x:row>
    <x:row r="11" ht="24" customHeight="1">
      <x:c r="A11" s="2" t="str">
        <x:v>L100-8000</x:v>
      </x:c>
      <x:c r="B11" s="7" t="str">
        <x:v>1.0</x:v>
      </x:c>
      <x:c r="C11" s="7" t="str">
        <x:v>1.3.1</x:v>
      </x:c>
      <x:c r="D11" s="2" t="str">
        <x:v>USD</x:v>
      </x:c>
      <x:c r="E11" s="2" t="str">
        <x:v>monthly</x:v>
      </x:c>
      <x:c r="F11" s="6" t="n">
        <x:v>62</x:v>
      </x:c>
      <x:c r="G11" s="6" t="n">
        <x:v>96</x:v>
      </x:c>
      <x:c r="H11" s="6" t="n">
        <x:v>34.72</x:v>
      </x:c>
      <x:c r="I11" s="6" t="n">
        <x:v>18</x:v>
      </x:c>
      <x:c r="J11" s="6" t="n">
        <x:v>1500</x:v>
      </x:c>
      <x:c r="K11" s="6" t="n">
        <x:v>5000</x:v>
      </x:c>
      <x:c r="L11" s="6" t="n">
        <x:v>1500</x:v>
      </x:c>
      <x:c r="M11" s="6" t="n">
        <x:v>2.9</x:v>
      </x:c>
      <x:c r="N11" s="6" t="n">
        <x:v>4</x:v>
      </x:c>
      <x:c r="O11" s="6" t="n">
        <x:v>38</x:v>
      </x:c>
      <x:c r="P11" s="6" t="n">
        <x:v>5</x:v>
      </x:c>
      <x:c r="Q11" s="6" t="n">
        <x:v>72</x:v>
      </x:c>
      <x:c r="R11" s="6" t="n">
        <x:v>28</x:v>
      </x:c>
      <x:c r="S11" s="6" t="n">
        <x:v>320</x:v>
      </x:c>
      <x:c r="T11" s="6"/>
      <x:c r="U11" s="6" t="n">
        <x:v>100</x:v>
      </x:c>
      <x:c r="V11" s="6" t="n">
        <x:v>8000</x:v>
      </x:c>
      <x:c r="W11" s="6" t="n">
        <x:v>80</x:v>
      </x:c>
      <x:c r="X11" s="6" t="n">
        <x:v>80</x:v>
      </x:c>
      <x:c r="Y11" s="6" t="n">
        <x:v>25600</x:v>
      </x:c>
      <x:c r="Z11" s="6" t="n">
        <x:v>25600</x:v>
      </x:c>
      <x:c r="AA11" s="6" t="n">
        <x:v>94.848</x:v>
      </x:c>
      <x:c r="AB11" s="6" t="n">
        <x:v>94</x:v>
      </x:c>
      <x:c r="AC11" s="6" t="n">
        <x:v>14</x:v>
      </x:c>
      <x:c r="AD11" s="6"/>
    </x:row>
    <x:row r="12" ht="24" customHeight="1">
      <x:c r="A12" s="2" t="str">
        <x:v>L100-9800</x:v>
      </x:c>
      <x:c r="B12" s="7" t="str">
        <x:v>1.0</x:v>
      </x:c>
      <x:c r="C12" s="7" t="str">
        <x:v>1.3.1</x:v>
      </x:c>
      <x:c r="D12" s="2" t="str">
        <x:v>USD</x:v>
      </x:c>
      <x:c r="E12" s="2" t="str">
        <x:v>monthly</x:v>
      </x:c>
      <x:c r="F12" s="6" t="n">
        <x:v>62</x:v>
      </x:c>
      <x:c r="G12" s="6" t="n">
        <x:v>96</x:v>
      </x:c>
      <x:c r="H12" s="6" t="n">
        <x:v>34.72</x:v>
      </x:c>
      <x:c r="I12" s="6" t="n">
        <x:v>18</x:v>
      </x:c>
      <x:c r="J12" s="6" t="n">
        <x:v>3300</x:v>
      </x:c>
      <x:c r="K12" s="6" t="n">
        <x:v>5000</x:v>
      </x:c>
      <x:c r="L12" s="6" t="n">
        <x:v>1500</x:v>
      </x:c>
      <x:c r="M12" s="6" t="n">
        <x:v>2.9</x:v>
      </x:c>
      <x:c r="N12" s="6" t="n">
        <x:v>4</x:v>
      </x:c>
      <x:c r="O12" s="6" t="n">
        <x:v>38</x:v>
      </x:c>
      <x:c r="P12" s="6" t="n">
        <x:v>5</x:v>
      </x:c>
      <x:c r="Q12" s="6" t="n">
        <x:v>72</x:v>
      </x:c>
      <x:c r="R12" s="6" t="n">
        <x:v>28</x:v>
      </x:c>
      <x:c r="S12" s="6" t="n">
        <x:v>320</x:v>
      </x:c>
      <x:c r="T12" s="6"/>
      <x:c r="U12" s="6" t="n">
        <x:v>100</x:v>
      </x:c>
      <x:c r="V12" s="6" t="n">
        <x:v>9800</x:v>
      </x:c>
      <x:c r="W12" s="6" t="n">
        <x:v>98</x:v>
      </x:c>
      <x:c r="X12" s="6" t="n">
        <x:v>98</x:v>
      </x:c>
      <x:c r="Y12" s="6" t="n">
        <x:v>31360</x:v>
      </x:c>
      <x:c r="Z12" s="6" t="n">
        <x:v>31360</x:v>
      </x:c>
      <x:c r="AA12" s="6" t="n">
        <x:v>94.848</x:v>
      </x:c>
      <x:c r="AB12" s="6" t="n">
        <x:v>94</x:v>
      </x:c>
      <x:c r="AC12" s="6" t="n">
        <x:v>-4</x:v>
      </x:c>
      <x:c r="AD12" s="6"/>
    </x:row>
    <x:row r="13" ht="24" customHeight="1">
      <x:c r="A13" s="2" t="str">
        <x:v>L100-11300</x:v>
      </x:c>
      <x:c r="B13" s="7" t="str">
        <x:v>1.0</x:v>
      </x:c>
      <x:c r="C13" s="7" t="str">
        <x:v>1.3.1</x:v>
      </x:c>
      <x:c r="D13" s="2" t="str">
        <x:v>USD</x:v>
      </x:c>
      <x:c r="E13" s="2" t="str">
        <x:v>monthly</x:v>
      </x:c>
      <x:c r="F13" s="6" t="n">
        <x:v>62</x:v>
      </x:c>
      <x:c r="G13" s="6" t="n">
        <x:v>96</x:v>
      </x:c>
      <x:c r="H13" s="6" t="n">
        <x:v>34.72</x:v>
      </x:c>
      <x:c r="I13" s="6" t="n">
        <x:v>18</x:v>
      </x:c>
      <x:c r="J13" s="6" t="n">
        <x:v>4800</x:v>
      </x:c>
      <x:c r="K13" s="6" t="n">
        <x:v>5000</x:v>
      </x:c>
      <x:c r="L13" s="6" t="n">
        <x:v>1500</x:v>
      </x:c>
      <x:c r="M13" s="6" t="n">
        <x:v>2.9</x:v>
      </x:c>
      <x:c r="N13" s="6" t="n">
        <x:v>4</x:v>
      </x:c>
      <x:c r="O13" s="6" t="n">
        <x:v>38</x:v>
      </x:c>
      <x:c r="P13" s="6" t="n">
        <x:v>5</x:v>
      </x:c>
      <x:c r="Q13" s="6" t="n">
        <x:v>72</x:v>
      </x:c>
      <x:c r="R13" s="6" t="n">
        <x:v>28</x:v>
      </x:c>
      <x:c r="S13" s="6" t="n">
        <x:v>320</x:v>
      </x:c>
      <x:c r="T13" s="6"/>
      <x:c r="U13" s="6" t="n">
        <x:v>100</x:v>
      </x:c>
      <x:c r="V13" s="6" t="n">
        <x:v>11300</x:v>
      </x:c>
      <x:c r="W13" s="6" t="n">
        <x:v>113</x:v>
      </x:c>
      <x:c r="X13" s="6" t="n">
        <x:v>113</x:v>
      </x:c>
      <x:c r="Y13" s="6" t="n">
        <x:v>36160</x:v>
      </x:c>
      <x:c r="Z13" s="6" t="n">
        <x:v>36160</x:v>
      </x:c>
      <x:c r="AA13" s="6" t="n">
        <x:v>94.848</x:v>
      </x:c>
      <x:c r="AB13" s="6" t="n">
        <x:v>94</x:v>
      </x:c>
      <x:c r="AC13" s="6" t="n">
        <x:v>-19</x:v>
      </x:c>
      <x:c r="AD13" s="6"/>
    </x:row>
    <x:row r="14" ht="24" customHeight="1">
      <x:c r="A14" s="2" t="str">
        <x:v>L100-12200</x:v>
      </x:c>
      <x:c r="B14" s="7" t="str">
        <x:v>1.0</x:v>
      </x:c>
      <x:c r="C14" s="7" t="str">
        <x:v>1.3.1</x:v>
      </x:c>
      <x:c r="D14" s="2" t="str">
        <x:v>USD</x:v>
      </x:c>
      <x:c r="E14" s="2" t="str">
        <x:v>monthly</x:v>
      </x:c>
      <x:c r="F14" s="6" t="n">
        <x:v>62</x:v>
      </x:c>
      <x:c r="G14" s="6" t="n">
        <x:v>96</x:v>
      </x:c>
      <x:c r="H14" s="6" t="n">
        <x:v>34.72</x:v>
      </x:c>
      <x:c r="I14" s="6" t="n">
        <x:v>18</x:v>
      </x:c>
      <x:c r="J14" s="6" t="n">
        <x:v>5700</x:v>
      </x:c>
      <x:c r="K14" s="6" t="n">
        <x:v>5000</x:v>
      </x:c>
      <x:c r="L14" s="6" t="n">
        <x:v>1500</x:v>
      </x:c>
      <x:c r="M14" s="6" t="n">
        <x:v>2.9</x:v>
      </x:c>
      <x:c r="N14" s="6" t="n">
        <x:v>4</x:v>
      </x:c>
      <x:c r="O14" s="6" t="n">
        <x:v>38</x:v>
      </x:c>
      <x:c r="P14" s="6" t="n">
        <x:v>5</x:v>
      </x:c>
      <x:c r="Q14" s="6" t="n">
        <x:v>72</x:v>
      </x:c>
      <x:c r="R14" s="6" t="n">
        <x:v>28</x:v>
      </x:c>
      <x:c r="S14" s="6" t="n">
        <x:v>320</x:v>
      </x:c>
      <x:c r="T14" s="6"/>
      <x:c r="U14" s="6" t="n">
        <x:v>100</x:v>
      </x:c>
      <x:c r="V14" s="6" t="n">
        <x:v>12200</x:v>
      </x:c>
      <x:c r="W14" s="6" t="n">
        <x:v>122</x:v>
      </x:c>
      <x:c r="X14" s="6" t="n">
        <x:v>122</x:v>
      </x:c>
      <x:c r="Y14" s="6" t="n">
        <x:v>39040</x:v>
      </x:c>
      <x:c r="Z14" s="6" t="n">
        <x:v>39040</x:v>
      </x:c>
      <x:c r="AA14" s="6" t="n">
        <x:v>94.848</x:v>
      </x:c>
      <x:c r="AB14" s="6" t="n">
        <x:v>94</x:v>
      </x:c>
      <x:c r="AC14" s="6" t="n">
        <x:v>-28</x:v>
      </x:c>
      <x:c r="AD14" s="6"/>
    </x:row>
    <x:row r="15" ht="24" customHeight="1">
      <x:c r="A15" s="2" t="str">
        <x:v>L100-14000</x:v>
      </x:c>
      <x:c r="B15" s="7" t="str">
        <x:v>1.0</x:v>
      </x:c>
      <x:c r="C15" s="7" t="str">
        <x:v>1.3.1</x:v>
      </x:c>
      <x:c r="D15" s="2" t="str">
        <x:v>USD</x:v>
      </x:c>
      <x:c r="E15" s="2" t="str">
        <x:v>monthly</x:v>
      </x:c>
      <x:c r="F15" s="6" t="n">
        <x:v>62</x:v>
      </x:c>
      <x:c r="G15" s="6" t="n">
        <x:v>96</x:v>
      </x:c>
      <x:c r="H15" s="6" t="n">
        <x:v>34.72</x:v>
      </x:c>
      <x:c r="I15" s="6" t="n">
        <x:v>18</x:v>
      </x:c>
      <x:c r="J15" s="6" t="n">
        <x:v>7500</x:v>
      </x:c>
      <x:c r="K15" s="6" t="n">
        <x:v>5000</x:v>
      </x:c>
      <x:c r="L15" s="6" t="n">
        <x:v>1500</x:v>
      </x:c>
      <x:c r="M15" s="6" t="n">
        <x:v>2.9</x:v>
      </x:c>
      <x:c r="N15" s="6" t="n">
        <x:v>4</x:v>
      </x:c>
      <x:c r="O15" s="6" t="n">
        <x:v>38</x:v>
      </x:c>
      <x:c r="P15" s="6" t="n">
        <x:v>5</x:v>
      </x:c>
      <x:c r="Q15" s="6" t="n">
        <x:v>72</x:v>
      </x:c>
      <x:c r="R15" s="6" t="n">
        <x:v>28</x:v>
      </x:c>
      <x:c r="S15" s="6" t="n">
        <x:v>320</x:v>
      </x:c>
      <x:c r="T15" s="6"/>
      <x:c r="U15" s="6" t="n">
        <x:v>100</x:v>
      </x:c>
      <x:c r="V15" s="6" t="n">
        <x:v>14000</x:v>
      </x:c>
      <x:c r="W15" s="6" t="n">
        <x:v>140</x:v>
      </x:c>
      <x:c r="X15" s="6" t="n">
        <x:v>140</x:v>
      </x:c>
      <x:c r="Y15" s="6" t="n">
        <x:v>44800</x:v>
      </x:c>
      <x:c r="Z15" s="6" t="n">
        <x:v>44800</x:v>
      </x:c>
      <x:c r="AA15" s="6" t="n">
        <x:v>94.848</x:v>
      </x:c>
      <x:c r="AB15" s="6" t="n">
        <x:v>94</x:v>
      </x:c>
      <x:c r="AC15" s="6" t="n">
        <x:v>-46</x:v>
      </x:c>
      <x:c r="AD15" s="6"/>
    </x:row>
    <x:row r="16" ht="24" customHeight="1">
      <x:c r="A16" s="2" t="str">
        <x:v>L110.72-8000</x:v>
      </x:c>
      <x:c r="B16" s="7" t="str">
        <x:v>1.0</x:v>
      </x:c>
      <x:c r="C16" s="7" t="str">
        <x:v>1.3.1</x:v>
      </x:c>
      <x:c r="D16" s="2" t="str">
        <x:v>USD</x:v>
      </x:c>
      <x:c r="E16" s="2" t="str">
        <x:v>monthly</x:v>
      </x:c>
      <x:c r="F16" s="6" t="n">
        <x:v>62</x:v>
      </x:c>
      <x:c r="G16" s="6" t="n">
        <x:v>96</x:v>
      </x:c>
      <x:c r="H16" s="6" t="n">
        <x:v>24</x:v>
      </x:c>
      <x:c r="I16" s="6" t="n">
        <x:v>18</x:v>
      </x:c>
      <x:c r="J16" s="6" t="n">
        <x:v>1500</x:v>
      </x:c>
      <x:c r="K16" s="6" t="n">
        <x:v>5000</x:v>
      </x:c>
      <x:c r="L16" s="6" t="n">
        <x:v>1500</x:v>
      </x:c>
      <x:c r="M16" s="6" t="n">
        <x:v>2.9</x:v>
      </x:c>
      <x:c r="N16" s="6" t="n">
        <x:v>4</x:v>
      </x:c>
      <x:c r="O16" s="6" t="n">
        <x:v>38</x:v>
      </x:c>
      <x:c r="P16" s="6" t="n">
        <x:v>5</x:v>
      </x:c>
      <x:c r="Q16" s="6" t="n">
        <x:v>72</x:v>
      </x:c>
      <x:c r="R16" s="6" t="n">
        <x:v>28</x:v>
      </x:c>
      <x:c r="S16" s="6" t="n">
        <x:v>320</x:v>
      </x:c>
      <x:c r="T16" s="6"/>
      <x:c r="U16" s="6" t="n">
        <x:v>110.72</x:v>
      </x:c>
      <x:c r="V16" s="6" t="n">
        <x:v>8000</x:v>
      </x:c>
      <x:c r="W16" s="6" t="n">
        <x:v>72.25433526011561</x:v>
      </x:c>
      <x:c r="X16" s="6" t="n">
        <x:v>73</x:v>
      </x:c>
      <x:c r="Y16" s="6" t="n">
        <x:v>23121.387283236993</x:v>
      </x:c>
      <x:c r="Z16" s="6" t="n">
        <x:v>23360</x:v>
      </x:c>
      <x:c r="AA16" s="6" t="n">
        <x:v>94.848</x:v>
      </x:c>
      <x:c r="AB16" s="6" t="n">
        <x:v>94</x:v>
      </x:c>
      <x:c r="AC16" s="6" t="n">
        <x:v>21</x:v>
      </x:c>
      <x:c r="AD16" s="6"/>
    </x:row>
    <x:row r="17" ht="24" customHeight="1">
      <x:c r="A17" s="2" t="str">
        <x:v>L110.72-9800</x:v>
      </x:c>
      <x:c r="B17" s="7" t="str">
        <x:v>1.0</x:v>
      </x:c>
      <x:c r="C17" s="7" t="str">
        <x:v>1.3.1</x:v>
      </x:c>
      <x:c r="D17" s="2" t="str">
        <x:v>USD</x:v>
      </x:c>
      <x:c r="E17" s="2" t="str">
        <x:v>monthly</x:v>
      </x:c>
      <x:c r="F17" s="6" t="n">
        <x:v>62</x:v>
      </x:c>
      <x:c r="G17" s="6" t="n">
        <x:v>96</x:v>
      </x:c>
      <x:c r="H17" s="6" t="n">
        <x:v>24</x:v>
      </x:c>
      <x:c r="I17" s="6" t="n">
        <x:v>18</x:v>
      </x:c>
      <x:c r="J17" s="6" t="n">
        <x:v>3300</x:v>
      </x:c>
      <x:c r="K17" s="6" t="n">
        <x:v>5000</x:v>
      </x:c>
      <x:c r="L17" s="6" t="n">
        <x:v>1500</x:v>
      </x:c>
      <x:c r="M17" s="6" t="n">
        <x:v>2.9</x:v>
      </x:c>
      <x:c r="N17" s="6" t="n">
        <x:v>4</x:v>
      </x:c>
      <x:c r="O17" s="6" t="n">
        <x:v>38</x:v>
      </x:c>
      <x:c r="P17" s="6" t="n">
        <x:v>5</x:v>
      </x:c>
      <x:c r="Q17" s="6" t="n">
        <x:v>72</x:v>
      </x:c>
      <x:c r="R17" s="6" t="n">
        <x:v>28</x:v>
      </x:c>
      <x:c r="S17" s="6" t="n">
        <x:v>320</x:v>
      </x:c>
      <x:c r="T17" s="6"/>
      <x:c r="U17" s="6" t="n">
        <x:v>110.72</x:v>
      </x:c>
      <x:c r="V17" s="6" t="n">
        <x:v>9800</x:v>
      </x:c>
      <x:c r="W17" s="6" t="n">
        <x:v>88.51156069364161</x:v>
      </x:c>
      <x:c r="X17" s="6" t="n">
        <x:v>89</x:v>
      </x:c>
      <x:c r="Y17" s="6" t="n">
        <x:v>28323.699421965317</x:v>
      </x:c>
      <x:c r="Z17" s="6" t="n">
        <x:v>28480</x:v>
      </x:c>
      <x:c r="AA17" s="6" t="n">
        <x:v>94.848</x:v>
      </x:c>
      <x:c r="AB17" s="6" t="n">
        <x:v>94</x:v>
      </x:c>
      <x:c r="AC17" s="6" t="n">
        <x:v>5</x:v>
      </x:c>
      <x:c r="AD17" s="6"/>
    </x:row>
    <x:row r="18" ht="24" customHeight="1">
      <x:c r="A18" s="2" t="str">
        <x:v>L110.72-11300</x:v>
      </x:c>
      <x:c r="B18" s="7" t="str">
        <x:v>1.0</x:v>
      </x:c>
      <x:c r="C18" s="7" t="str">
        <x:v>1.3.1</x:v>
      </x:c>
      <x:c r="D18" s="2" t="str">
        <x:v>USD</x:v>
      </x:c>
      <x:c r="E18" s="2" t="str">
        <x:v>monthly</x:v>
      </x:c>
      <x:c r="F18" s="6" t="n">
        <x:v>62</x:v>
      </x:c>
      <x:c r="G18" s="6" t="n">
        <x:v>96</x:v>
      </x:c>
      <x:c r="H18" s="6" t="n">
        <x:v>24</x:v>
      </x:c>
      <x:c r="I18" s="6" t="n">
        <x:v>18</x:v>
      </x:c>
      <x:c r="J18" s="6" t="n">
        <x:v>4800</x:v>
      </x:c>
      <x:c r="K18" s="6" t="n">
        <x:v>5000</x:v>
      </x:c>
      <x:c r="L18" s="6" t="n">
        <x:v>1500</x:v>
      </x:c>
      <x:c r="M18" s="6" t="n">
        <x:v>2.9</x:v>
      </x:c>
      <x:c r="N18" s="6" t="n">
        <x:v>4</x:v>
      </x:c>
      <x:c r="O18" s="6" t="n">
        <x:v>38</x:v>
      </x:c>
      <x:c r="P18" s="6" t="n">
        <x:v>5</x:v>
      </x:c>
      <x:c r="Q18" s="6" t="n">
        <x:v>72</x:v>
      </x:c>
      <x:c r="R18" s="6" t="n">
        <x:v>28</x:v>
      </x:c>
      <x:c r="S18" s="6" t="n">
        <x:v>320</x:v>
      </x:c>
      <x:c r="T18" s="6"/>
      <x:c r="U18" s="6" t="n">
        <x:v>110.72</x:v>
      </x:c>
      <x:c r="V18" s="6" t="n">
        <x:v>11300</x:v>
      </x:c>
      <x:c r="W18" s="6" t="n">
        <x:v>102.0592485549133</x:v>
      </x:c>
      <x:c r="X18" s="6" t="n">
        <x:v>103</x:v>
      </x:c>
      <x:c r="Y18" s="6" t="n">
        <x:v>32658.959537572253</x:v>
      </x:c>
      <x:c r="Z18" s="6" t="n">
        <x:v>32960</x:v>
      </x:c>
      <x:c r="AA18" s="6" t="n">
        <x:v>94.848</x:v>
      </x:c>
      <x:c r="AB18" s="6" t="n">
        <x:v>94</x:v>
      </x:c>
      <x:c r="AC18" s="6" t="n">
        <x:v>-9</x:v>
      </x:c>
      <x:c r="AD18" s="6"/>
    </x:row>
    <x:row r="19" ht="24" customHeight="1">
      <x:c r="A19" s="2" t="str">
        <x:v>L110.72-12200</x:v>
      </x:c>
      <x:c r="B19" s="7" t="str">
        <x:v>1.0</x:v>
      </x:c>
      <x:c r="C19" s="7" t="str">
        <x:v>1.3.1</x:v>
      </x:c>
      <x:c r="D19" s="2" t="str">
        <x:v>USD</x:v>
      </x:c>
      <x:c r="E19" s="2" t="str">
        <x:v>monthly</x:v>
      </x:c>
      <x:c r="F19" s="6" t="n">
        <x:v>62</x:v>
      </x:c>
      <x:c r="G19" s="6" t="n">
        <x:v>96</x:v>
      </x:c>
      <x:c r="H19" s="6" t="n">
        <x:v>24</x:v>
      </x:c>
      <x:c r="I19" s="6" t="n">
        <x:v>18</x:v>
      </x:c>
      <x:c r="J19" s="6" t="n">
        <x:v>5700</x:v>
      </x:c>
      <x:c r="K19" s="6" t="n">
        <x:v>5000</x:v>
      </x:c>
      <x:c r="L19" s="6" t="n">
        <x:v>1500</x:v>
      </x:c>
      <x:c r="M19" s="6" t="n">
        <x:v>2.9</x:v>
      </x:c>
      <x:c r="N19" s="6" t="n">
        <x:v>4</x:v>
      </x:c>
      <x:c r="O19" s="6" t="n">
        <x:v>38</x:v>
      </x:c>
      <x:c r="P19" s="6" t="n">
        <x:v>5</x:v>
      </x:c>
      <x:c r="Q19" s="6" t="n">
        <x:v>72</x:v>
      </x:c>
      <x:c r="R19" s="6" t="n">
        <x:v>28</x:v>
      </x:c>
      <x:c r="S19" s="6" t="n">
        <x:v>320</x:v>
      </x:c>
      <x:c r="T19" s="6"/>
      <x:c r="U19" s="6" t="n">
        <x:v>110.72</x:v>
      </x:c>
      <x:c r="V19" s="6" t="n">
        <x:v>12200</x:v>
      </x:c>
      <x:c r="W19" s="6" t="n">
        <x:v>110.1878612716763</x:v>
      </x:c>
      <x:c r="X19" s="6" t="n">
        <x:v>111</x:v>
      </x:c>
      <x:c r="Y19" s="6" t="n">
        <x:v>35260.115606936415</x:v>
      </x:c>
      <x:c r="Z19" s="6" t="n">
        <x:v>35520</x:v>
      </x:c>
      <x:c r="AA19" s="6" t="n">
        <x:v>94.848</x:v>
      </x:c>
      <x:c r="AB19" s="6" t="n">
        <x:v>94</x:v>
      </x:c>
      <x:c r="AC19" s="6" t="n">
        <x:v>-17</x:v>
      </x:c>
      <x:c r="AD19" s="6"/>
    </x:row>
    <x:row r="20" ht="24" customHeight="1">
      <x:c r="A20" s="2" t="str">
        <x:v>L110.72-14000</x:v>
      </x:c>
      <x:c r="B20" s="7" t="str">
        <x:v>1.0</x:v>
      </x:c>
      <x:c r="C20" s="7" t="str">
        <x:v>1.3.1</x:v>
      </x:c>
      <x:c r="D20" s="2" t="str">
        <x:v>USD</x:v>
      </x:c>
      <x:c r="E20" s="2" t="str">
        <x:v>monthly</x:v>
      </x:c>
      <x:c r="F20" s="6" t="n">
        <x:v>62</x:v>
      </x:c>
      <x:c r="G20" s="6" t="n">
        <x:v>96</x:v>
      </x:c>
      <x:c r="H20" s="6" t="n">
        <x:v>24</x:v>
      </x:c>
      <x:c r="I20" s="6" t="n">
        <x:v>18</x:v>
      </x:c>
      <x:c r="J20" s="6" t="n">
        <x:v>7500</x:v>
      </x:c>
      <x:c r="K20" s="6" t="n">
        <x:v>5000</x:v>
      </x:c>
      <x:c r="L20" s="6" t="n">
        <x:v>1500</x:v>
      </x:c>
      <x:c r="M20" s="6" t="n">
        <x:v>2.9</x:v>
      </x:c>
      <x:c r="N20" s="6" t="n">
        <x:v>4</x:v>
      </x:c>
      <x:c r="O20" s="6" t="n">
        <x:v>38</x:v>
      </x:c>
      <x:c r="P20" s="6" t="n">
        <x:v>5</x:v>
      </x:c>
      <x:c r="Q20" s="6" t="n">
        <x:v>72</x:v>
      </x:c>
      <x:c r="R20" s="6" t="n">
        <x:v>28</x:v>
      </x:c>
      <x:c r="S20" s="6" t="n">
        <x:v>320</x:v>
      </x:c>
      <x:c r="T20" s="6"/>
      <x:c r="U20" s="6" t="n">
        <x:v>110.72</x:v>
      </x:c>
      <x:c r="V20" s="6" t="n">
        <x:v>14000</x:v>
      </x:c>
      <x:c r="W20" s="6" t="n">
        <x:v>126.44508670520231</x:v>
      </x:c>
      <x:c r="X20" s="6" t="n">
        <x:v>127</x:v>
      </x:c>
      <x:c r="Y20" s="6" t="n">
        <x:v>40462.42774566474</x:v>
      </x:c>
      <x:c r="Z20" s="6" t="n">
        <x:v>40640</x:v>
      </x:c>
      <x:c r="AA20" s="6" t="n">
        <x:v>94.848</x:v>
      </x:c>
      <x:c r="AB20" s="6" t="n">
        <x:v>94</x:v>
      </x:c>
      <x:c r="AC20" s="6" t="n">
        <x:v>-33</x:v>
      </x:c>
      <x:c r="AD20" s="6"/>
    </x:row>
    <x:row r="21" ht="24" customHeight="1">
      <x:c r="A21" s="2" t="str">
        <x:v>L120-8000</x:v>
      </x:c>
      <x:c r="B21" s="7" t="str">
        <x:v>1.0</x:v>
      </x:c>
      <x:c r="C21" s="7" t="str">
        <x:v>1.3.1</x:v>
      </x:c>
      <x:c r="D21" s="2" t="str">
        <x:v>USD</x:v>
      </x:c>
      <x:c r="E21" s="2" t="str">
        <x:v>monthly</x:v>
      </x:c>
      <x:c r="F21" s="6" t="n">
        <x:v>62</x:v>
      </x:c>
      <x:c r="G21" s="6" t="n">
        <x:v>96</x:v>
      </x:c>
      <x:c r="H21" s="6" t="n">
        <x:v>14.72</x:v>
      </x:c>
      <x:c r="I21" s="6" t="n">
        <x:v>18</x:v>
      </x:c>
      <x:c r="J21" s="6" t="n">
        <x:v>1500</x:v>
      </x:c>
      <x:c r="K21" s="6" t="n">
        <x:v>5000</x:v>
      </x:c>
      <x:c r="L21" s="6" t="n">
        <x:v>1500</x:v>
      </x:c>
      <x:c r="M21" s="6" t="n">
        <x:v>2.9</x:v>
      </x:c>
      <x:c r="N21" s="6" t="n">
        <x:v>4</x:v>
      </x:c>
      <x:c r="O21" s="6" t="n">
        <x:v>38</x:v>
      </x:c>
      <x:c r="P21" s="6" t="n">
        <x:v>5</x:v>
      </x:c>
      <x:c r="Q21" s="6" t="n">
        <x:v>72</x:v>
      </x:c>
      <x:c r="R21" s="6" t="n">
        <x:v>28</x:v>
      </x:c>
      <x:c r="S21" s="6" t="n">
        <x:v>320</x:v>
      </x:c>
      <x:c r="T21" s="6"/>
      <x:c r="U21" s="6" t="n">
        <x:v>120</x:v>
      </x:c>
      <x:c r="V21" s="6" t="n">
        <x:v>8000</x:v>
      </x:c>
      <x:c r="W21" s="6" t="n">
        <x:v>66.66666666666667</x:v>
      </x:c>
      <x:c r="X21" s="6" t="n">
        <x:v>67</x:v>
      </x:c>
      <x:c r="Y21" s="6" t="n">
        <x:v>21333.333333333332</x:v>
      </x:c>
      <x:c r="Z21" s="6" t="n">
        <x:v>21440</x:v>
      </x:c>
      <x:c r="AA21" s="6" t="n">
        <x:v>94.848</x:v>
      </x:c>
      <x:c r="AB21" s="6" t="n">
        <x:v>94</x:v>
      </x:c>
      <x:c r="AC21" s="6" t="n">
        <x:v>27</x:v>
      </x:c>
      <x:c r="AD21" s="6"/>
    </x:row>
    <x:row r="22" ht="24" customHeight="1">
      <x:c r="A22" s="2" t="str">
        <x:v>L120-9800</x:v>
      </x:c>
      <x:c r="B22" s="7" t="str">
        <x:v>1.0</x:v>
      </x:c>
      <x:c r="C22" s="7" t="str">
        <x:v>1.3.1</x:v>
      </x:c>
      <x:c r="D22" s="2" t="str">
        <x:v>USD</x:v>
      </x:c>
      <x:c r="E22" s="2" t="str">
        <x:v>monthly</x:v>
      </x:c>
      <x:c r="F22" s="6" t="n">
        <x:v>62</x:v>
      </x:c>
      <x:c r="G22" s="6" t="n">
        <x:v>96</x:v>
      </x:c>
      <x:c r="H22" s="6" t="n">
        <x:v>14.72</x:v>
      </x:c>
      <x:c r="I22" s="6" t="n">
        <x:v>18</x:v>
      </x:c>
      <x:c r="J22" s="6" t="n">
        <x:v>3300</x:v>
      </x:c>
      <x:c r="K22" s="6" t="n">
        <x:v>5000</x:v>
      </x:c>
      <x:c r="L22" s="6" t="n">
        <x:v>1500</x:v>
      </x:c>
      <x:c r="M22" s="6" t="n">
        <x:v>2.9</x:v>
      </x:c>
      <x:c r="N22" s="6" t="n">
        <x:v>4</x:v>
      </x:c>
      <x:c r="O22" s="6" t="n">
        <x:v>38</x:v>
      </x:c>
      <x:c r="P22" s="6" t="n">
        <x:v>5</x:v>
      </x:c>
      <x:c r="Q22" s="6" t="n">
        <x:v>72</x:v>
      </x:c>
      <x:c r="R22" s="6" t="n">
        <x:v>28</x:v>
      </x:c>
      <x:c r="S22" s="6" t="n">
        <x:v>320</x:v>
      </x:c>
      <x:c r="T22" s="6"/>
      <x:c r="U22" s="6" t="n">
        <x:v>120</x:v>
      </x:c>
      <x:c r="V22" s="6" t="n">
        <x:v>9800</x:v>
      </x:c>
      <x:c r="W22" s="6" t="n">
        <x:v>81.66666666666667</x:v>
      </x:c>
      <x:c r="X22" s="6" t="n">
        <x:v>82</x:v>
      </x:c>
      <x:c r="Y22" s="6" t="n">
        <x:v>26133.333333333332</x:v>
      </x:c>
      <x:c r="Z22" s="6" t="n">
        <x:v>26240</x:v>
      </x:c>
      <x:c r="AA22" s="6" t="n">
        <x:v>94.848</x:v>
      </x:c>
      <x:c r="AB22" s="6" t="n">
        <x:v>94</x:v>
      </x:c>
      <x:c r="AC22" s="6" t="n">
        <x:v>12</x:v>
      </x:c>
      <x:c r="AD22" s="6"/>
    </x:row>
    <x:row r="23" ht="24" customHeight="1">
      <x:c r="A23" s="2" t="str">
        <x:v>L120-11300</x:v>
      </x:c>
      <x:c r="B23" s="7" t="str">
        <x:v>1.0</x:v>
      </x:c>
      <x:c r="C23" s="7" t="str">
        <x:v>1.3.1</x:v>
      </x:c>
      <x:c r="D23" s="2" t="str">
        <x:v>USD</x:v>
      </x:c>
      <x:c r="E23" s="2" t="str">
        <x:v>monthly</x:v>
      </x:c>
      <x:c r="F23" s="6" t="n">
        <x:v>62</x:v>
      </x:c>
      <x:c r="G23" s="6" t="n">
        <x:v>96</x:v>
      </x:c>
      <x:c r="H23" s="6" t="n">
        <x:v>14.72</x:v>
      </x:c>
      <x:c r="I23" s="6" t="n">
        <x:v>18</x:v>
      </x:c>
      <x:c r="J23" s="6" t="n">
        <x:v>4800</x:v>
      </x:c>
      <x:c r="K23" s="6" t="n">
        <x:v>5000</x:v>
      </x:c>
      <x:c r="L23" s="6" t="n">
        <x:v>1500</x:v>
      </x:c>
      <x:c r="M23" s="6" t="n">
        <x:v>2.9</x:v>
      </x:c>
      <x:c r="N23" s="6" t="n">
        <x:v>4</x:v>
      </x:c>
      <x:c r="O23" s="6" t="n">
        <x:v>38</x:v>
      </x:c>
      <x:c r="P23" s="6" t="n">
        <x:v>5</x:v>
      </x:c>
      <x:c r="Q23" s="6" t="n">
        <x:v>72</x:v>
      </x:c>
      <x:c r="R23" s="6" t="n">
        <x:v>28</x:v>
      </x:c>
      <x:c r="S23" s="6" t="n">
        <x:v>320</x:v>
      </x:c>
      <x:c r="T23" s="6"/>
      <x:c r="U23" s="6" t="n">
        <x:v>120</x:v>
      </x:c>
      <x:c r="V23" s="6" t="n">
        <x:v>11300</x:v>
      </x:c>
      <x:c r="W23" s="6" t="n">
        <x:v>94.16666666666667</x:v>
      </x:c>
      <x:c r="X23" s="6" t="n">
        <x:v>95</x:v>
      </x:c>
      <x:c r="Y23" s="6" t="n">
        <x:v>30133.333333333332</x:v>
      </x:c>
      <x:c r="Z23" s="6" t="n">
        <x:v>30400</x:v>
      </x:c>
      <x:c r="AA23" s="6" t="n">
        <x:v>94.848</x:v>
      </x:c>
      <x:c r="AB23" s="6" t="n">
        <x:v>94</x:v>
      </x:c>
      <x:c r="AC23" s="6" t="n">
        <x:v>-1</x:v>
      </x:c>
      <x:c r="AD23" s="6"/>
    </x:row>
    <x:row r="24" ht="24" customHeight="1">
      <x:c r="A24" s="2" t="str">
        <x:v>L120-12200</x:v>
      </x:c>
      <x:c r="B24" s="7" t="str">
        <x:v>1.0</x:v>
      </x:c>
      <x:c r="C24" s="7" t="str">
        <x:v>1.3.1</x:v>
      </x:c>
      <x:c r="D24" s="2" t="str">
        <x:v>USD</x:v>
      </x:c>
      <x:c r="E24" s="2" t="str">
        <x:v>monthly</x:v>
      </x:c>
      <x:c r="F24" s="6" t="n">
        <x:v>62</x:v>
      </x:c>
      <x:c r="G24" s="6" t="n">
        <x:v>96</x:v>
      </x:c>
      <x:c r="H24" s="6" t="n">
        <x:v>14.72</x:v>
      </x:c>
      <x:c r="I24" s="6" t="n">
        <x:v>18</x:v>
      </x:c>
      <x:c r="J24" s="6" t="n">
        <x:v>5700</x:v>
      </x:c>
      <x:c r="K24" s="6" t="n">
        <x:v>5000</x:v>
      </x:c>
      <x:c r="L24" s="6" t="n">
        <x:v>1500</x:v>
      </x:c>
      <x:c r="M24" s="6" t="n">
        <x:v>2.9</x:v>
      </x:c>
      <x:c r="N24" s="6" t="n">
        <x:v>4</x:v>
      </x:c>
      <x:c r="O24" s="6" t="n">
        <x:v>38</x:v>
      </x:c>
      <x:c r="P24" s="6" t="n">
        <x:v>5</x:v>
      </x:c>
      <x:c r="Q24" s="6" t="n">
        <x:v>72</x:v>
      </x:c>
      <x:c r="R24" s="6" t="n">
        <x:v>28</x:v>
      </x:c>
      <x:c r="S24" s="6" t="n">
        <x:v>320</x:v>
      </x:c>
      <x:c r="T24" s="6"/>
      <x:c r="U24" s="6" t="n">
        <x:v>120</x:v>
      </x:c>
      <x:c r="V24" s="6" t="n">
        <x:v>12200</x:v>
      </x:c>
      <x:c r="W24" s="6" t="n">
        <x:v>101.66666666666667</x:v>
      </x:c>
      <x:c r="X24" s="6" t="n">
        <x:v>102</x:v>
      </x:c>
      <x:c r="Y24" s="6" t="n">
        <x:v>32533.333333333332</x:v>
      </x:c>
      <x:c r="Z24" s="6" t="n">
        <x:v>32640</x:v>
      </x:c>
      <x:c r="AA24" s="6" t="n">
        <x:v>94.848</x:v>
      </x:c>
      <x:c r="AB24" s="6" t="n">
        <x:v>94</x:v>
      </x:c>
      <x:c r="AC24" s="6" t="n">
        <x:v>-8</x:v>
      </x:c>
      <x:c r="AD24" s="6"/>
    </x:row>
    <x:row r="25" ht="24" customHeight="1">
      <x:c r="A25" s="2" t="str">
        <x:v>L120-14000</x:v>
      </x:c>
      <x:c r="B25" s="7" t="str">
        <x:v>1.0</x:v>
      </x:c>
      <x:c r="C25" s="7" t="str">
        <x:v>1.3.1</x:v>
      </x:c>
      <x:c r="D25" s="2" t="str">
        <x:v>USD</x:v>
      </x:c>
      <x:c r="E25" s="2" t="str">
        <x:v>monthly</x:v>
      </x:c>
      <x:c r="F25" s="6" t="n">
        <x:v>62</x:v>
      </x:c>
      <x:c r="G25" s="6" t="n">
        <x:v>96</x:v>
      </x:c>
      <x:c r="H25" s="6" t="n">
        <x:v>14.72</x:v>
      </x:c>
      <x:c r="I25" s="6" t="n">
        <x:v>18</x:v>
      </x:c>
      <x:c r="J25" s="6" t="n">
        <x:v>7500</x:v>
      </x:c>
      <x:c r="K25" s="6" t="n">
        <x:v>5000</x:v>
      </x:c>
      <x:c r="L25" s="6" t="n">
        <x:v>1500</x:v>
      </x:c>
      <x:c r="M25" s="6" t="n">
        <x:v>2.9</x:v>
      </x:c>
      <x:c r="N25" s="6" t="n">
        <x:v>4</x:v>
      </x:c>
      <x:c r="O25" s="6" t="n">
        <x:v>38</x:v>
      </x:c>
      <x:c r="P25" s="6" t="n">
        <x:v>5</x:v>
      </x:c>
      <x:c r="Q25" s="6" t="n">
        <x:v>72</x:v>
      </x:c>
      <x:c r="R25" s="6" t="n">
        <x:v>28</x:v>
      </x:c>
      <x:c r="S25" s="6" t="n">
        <x:v>320</x:v>
      </x:c>
      <x:c r="T25" s="6"/>
      <x:c r="U25" s="6" t="n">
        <x:v>120</x:v>
      </x:c>
      <x:c r="V25" s="6" t="n">
        <x:v>14000</x:v>
      </x:c>
      <x:c r="W25" s="6" t="n">
        <x:v>116.66666666666667</x:v>
      </x:c>
      <x:c r="X25" s="6" t="n">
        <x:v>117</x:v>
      </x:c>
      <x:c r="Y25" s="6" t="n">
        <x:v>37333.333333333336</x:v>
      </x:c>
      <x:c r="Z25" s="6" t="n">
        <x:v>37440</x:v>
      </x:c>
      <x:c r="AA25" s="6" t="n">
        <x:v>94.848</x:v>
      </x:c>
      <x:c r="AB25" s="6" t="n">
        <x:v>94</x:v>
      </x:c>
      <x:c r="AC25" s="6" t="n">
        <x:v>-23</x:v>
      </x:c>
      <x:c r="AD25" s="6"/>
    </x:row>
  </x:sheetData>
  <x:pageMargins left="0.7" right="0.7" top="0.75" bottom="0.75" header="0.3" footer="0.3"/>
  <x:tableParts count="1">
    <x:tablePart xmlns:r="http://schemas.openxmlformats.org/officeDocument/2006/relationships" r:id="Rdf4e2474c6674469"/>
  </x:tableParts>
</x:worksheet>
</file>