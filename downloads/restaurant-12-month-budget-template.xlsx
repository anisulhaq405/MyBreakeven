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12-Month Budget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[Red]($#,##0);-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63754"/>
    </font>
    <font>
      <b val="1"/>
      <color rgb="00FFFFFF"/>
      <sz val="15"/>
    </font>
    <font>
      <b val="1"/>
      <color rgb="00FFFFFF"/>
    </font>
    <font>
      <color rgb="001646BB"/>
    </font>
  </fonts>
  <fills count="6">
    <fill>
      <patternFill/>
    </fill>
    <fill>
      <patternFill patternType="gray125"/>
    </fill>
    <fill>
      <patternFill patternType="solid">
        <fgColor rgb="00163754"/>
      </patternFill>
    </fill>
    <fill>
      <patternFill patternType="solid">
        <fgColor rgb="00235E80"/>
      </patternFill>
    </fill>
    <fill>
      <patternFill patternType="solid">
        <fgColor rgb="00FFF1BD"/>
      </patternFill>
    </fill>
    <fill>
      <patternFill patternType="solid">
        <fgColor rgb="00EA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4" fillId="2" borderId="0" pivotButton="0" quotePrefix="0" xfId="0"/>
    <xf numFmtId="0" fontId="4" fillId="3" borderId="0" pivotButton="0" quotePrefix="0" xfId="0"/>
    <xf numFmtId="164" fontId="5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164" fontId="0" fillId="5" borderId="0" pivotButton="0" quotePrefix="0" xfId="0"/>
    <xf numFmtId="165" fontId="0" fillId="0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operating profit: budget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'Dashboard'!$A$12:$A$23</f>
            </numRef>
          </cat>
          <val>
            <numRef>
              <f>'Dashboard'!$B$12:$B$23</f>
            </numRef>
          </val>
        </ser>
        <ser>
          <idx val="1"/>
          <order val="1"/>
          <tx>
            <strRef>
              <f>'Dashboard'!C11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'Dashboard'!$A$12:$A$23</f>
            </numRef>
          </cat>
          <val>
            <numRef>
              <f>'Dashboard'!$C$12:$C$23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MYBREAKEVEN — 12-MONTH RESTAURANT BUDGET</t>
        </is>
      </c>
      <c r="B1" t="inlineStr"/>
    </row>
    <row r="2">
      <c r="A2" s="2" t="inlineStr">
        <is>
          <t>Purpose</t>
        </is>
      </c>
      <c r="B2" s="3" t="inlineStr">
        <is>
          <t>Monthly budget, monthly actuals and year-to-date variance; USD illustration only</t>
        </is>
      </c>
    </row>
    <row r="3">
      <c r="A3" s="2" t="inlineStr">
        <is>
          <t>Input</t>
        </is>
      </c>
      <c r="B3" s="3" t="inlineStr">
        <is>
          <t>Replace sample budget assumptions in yellow cells; enter actuals after each month closes</t>
        </is>
      </c>
    </row>
    <row r="4">
      <c r="A4" s="2" t="inlineStr">
        <is>
          <t>Important</t>
        </is>
      </c>
      <c r="B4" s="3" t="inlineStr">
        <is>
          <t>Blank actual months do not count as zero actual profits</t>
        </is>
      </c>
    </row>
    <row r="5">
      <c r="A5" s="2" t="inlineStr">
        <is>
          <t>Completion</t>
        </is>
      </c>
      <c r="B5" s="3" t="inlineStr">
        <is>
          <t>Enter all actual income and cost rows, including actual zeros, before interpreting results</t>
        </is>
      </c>
    </row>
    <row r="6">
      <c r="A6" s="2" t="inlineStr">
        <is>
          <t>Profit</t>
        </is>
      </c>
      <c r="B6" s="3" t="inlineStr">
        <is>
          <t>Sales less variable costs and committed expenses; not cash flow or after-tax earnings</t>
        </is>
      </c>
    </row>
    <row r="7">
      <c r="A7" s="2" t="inlineStr">
        <is>
          <t>Break-even</t>
        </is>
      </c>
      <c r="B7" s="3" t="inlineStr">
        <is>
          <t>Committed expenses / contribution margin, assuming constant variable-cost ratio</t>
        </is>
      </c>
    </row>
    <row r="8">
      <c r="A8" s="2" t="inlineStr">
        <is>
          <t>Comparison</t>
        </is>
      </c>
      <c r="B8" s="3" t="inlineStr">
        <is>
          <t>Annual budget spans 12 months; actual and variance sum entered months only</t>
        </is>
      </c>
    </row>
    <row r="9">
      <c r="A9" s="2" t="inlineStr">
        <is>
          <t>Caution</t>
        </is>
      </c>
      <c r="B9" s="3" t="inlineStr">
        <is>
          <t>Payroll excludes employer costs when listed separately; do not double count owner compensation</t>
        </is>
      </c>
    </row>
    <row r="10">
      <c r="A10" s="2" t="inlineStr">
        <is>
          <t>Example</t>
        </is>
      </c>
      <c r="B10" s="3" t="inlineStr">
        <is>
          <t>Illustrative amounts, not industry benchmarks</t>
        </is>
      </c>
    </row>
    <row r="11">
      <c r="A11" s="2" t="inlineStr">
        <is>
          <t>Original page</t>
        </is>
      </c>
      <c r="B11" s="3" t="inlineStr">
        <is>
          <t>https://mybreakeven.com/blogs/restaurant-budgeting/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4" t="inlineStr">
        <is>
          <t>RESTAURANT — MONTHLY BUDGET / ACTUAL (USD)</t>
        </is>
      </c>
    </row>
    <row r="3">
      <c r="A3" s="5" t="inlineStr">
        <is>
          <t>Line item</t>
        </is>
      </c>
      <c r="B3" s="5" t="inlineStr">
        <is>
          <t>Jan</t>
        </is>
      </c>
      <c r="C3" s="5" t="inlineStr">
        <is>
          <t>Feb</t>
        </is>
      </c>
      <c r="D3" s="5" t="inlineStr">
        <is>
          <t>Mar</t>
        </is>
      </c>
      <c r="E3" s="5" t="inlineStr">
        <is>
          <t>Apr</t>
        </is>
      </c>
      <c r="F3" s="5" t="inlineStr">
        <is>
          <t>May</t>
        </is>
      </c>
      <c r="G3" s="5" t="inlineStr">
        <is>
          <t>Jun</t>
        </is>
      </c>
      <c r="H3" s="5" t="inlineStr">
        <is>
          <t>Jul</t>
        </is>
      </c>
      <c r="I3" s="5" t="inlineStr">
        <is>
          <t>Aug</t>
        </is>
      </c>
      <c r="J3" s="5" t="inlineStr">
        <is>
          <t>Sep</t>
        </is>
      </c>
      <c r="K3" s="5" t="inlineStr">
        <is>
          <t>Oct</t>
        </is>
      </c>
      <c r="L3" s="5" t="inlineStr">
        <is>
          <t>Nov</t>
        </is>
      </c>
      <c r="M3" s="5" t="inlineStr">
        <is>
          <t>Dec</t>
        </is>
      </c>
      <c r="N3" s="5" t="inlineStr">
        <is>
          <t>Annual / entered months</t>
        </is>
      </c>
    </row>
    <row r="4">
      <c r="A4" s="6" t="inlineStr">
        <is>
          <t>BUDGET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A5" t="inlineStr">
        <is>
          <t>Food sales</t>
        </is>
      </c>
      <c r="B5" s="7" t="n">
        <v>40500</v>
      </c>
      <c r="C5" s="7" t="n">
        <v>40950</v>
      </c>
      <c r="D5" s="7" t="n">
        <v>44100</v>
      </c>
      <c r="E5" s="7" t="n">
        <v>45000</v>
      </c>
      <c r="F5" s="7" t="n">
        <v>47250</v>
      </c>
      <c r="G5" s="7" t="n">
        <v>48150</v>
      </c>
      <c r="H5" s="7" t="n">
        <v>50400</v>
      </c>
      <c r="I5" s="7" t="n">
        <v>48600</v>
      </c>
      <c r="J5" s="7" t="n">
        <v>45900</v>
      </c>
      <c r="K5" s="7" t="n">
        <v>45450</v>
      </c>
      <c r="L5" s="7" t="n">
        <v>46800</v>
      </c>
      <c r="M5" s="7" t="n">
        <v>51750</v>
      </c>
      <c r="N5" s="8">
        <f>SUM(B5:M5)</f>
        <v/>
      </c>
    </row>
    <row r="6">
      <c r="A6" t="inlineStr">
        <is>
          <t>Beverage sales</t>
        </is>
      </c>
      <c r="B6" s="7" t="n">
        <v>13500</v>
      </c>
      <c r="C6" s="7" t="n">
        <v>13650</v>
      </c>
      <c r="D6" s="7" t="n">
        <v>14700</v>
      </c>
      <c r="E6" s="7" t="n">
        <v>15000</v>
      </c>
      <c r="F6" s="7" t="n">
        <v>15750</v>
      </c>
      <c r="G6" s="7" t="n">
        <v>16050</v>
      </c>
      <c r="H6" s="7" t="n">
        <v>16800</v>
      </c>
      <c r="I6" s="7" t="n">
        <v>16200</v>
      </c>
      <c r="J6" s="7" t="n">
        <v>15300</v>
      </c>
      <c r="K6" s="7" t="n">
        <v>15150</v>
      </c>
      <c r="L6" s="7" t="n">
        <v>15600</v>
      </c>
      <c r="M6" s="7" t="n">
        <v>17250</v>
      </c>
      <c r="N6" s="8">
        <f>SUM(B6:M6)</f>
        <v/>
      </c>
    </row>
    <row r="7">
      <c r="A7" s="9" t="inlineStr">
        <is>
          <t>Total sales</t>
        </is>
      </c>
      <c r="B7" s="10">
        <f>SUM(B5:B6)</f>
        <v/>
      </c>
      <c r="C7" s="10">
        <f>SUM(C5:C6)</f>
        <v/>
      </c>
      <c r="D7" s="10">
        <f>SUM(D5:D6)</f>
        <v/>
      </c>
      <c r="E7" s="10">
        <f>SUM(E5:E6)</f>
        <v/>
      </c>
      <c r="F7" s="10">
        <f>SUM(F5:F6)</f>
        <v/>
      </c>
      <c r="G7" s="10">
        <f>SUM(G5:G6)</f>
        <v/>
      </c>
      <c r="H7" s="10">
        <f>SUM(H5:H6)</f>
        <v/>
      </c>
      <c r="I7" s="10">
        <f>SUM(I5:I6)</f>
        <v/>
      </c>
      <c r="J7" s="10">
        <f>SUM(J5:J6)</f>
        <v/>
      </c>
      <c r="K7" s="10">
        <f>SUM(K5:K6)</f>
        <v/>
      </c>
      <c r="L7" s="10">
        <f>SUM(L5:L6)</f>
        <v/>
      </c>
      <c r="M7" s="10">
        <f>SUM(M5:M6)</f>
        <v/>
      </c>
      <c r="N7" s="10">
        <f>SUM(B7:M7)</f>
        <v/>
      </c>
    </row>
    <row r="8">
      <c r="A8" t="inlineStr">
        <is>
          <t>Food and beverage COGS</t>
        </is>
      </c>
      <c r="B8" s="7" t="n">
        <v>16200</v>
      </c>
      <c r="C8" s="7" t="n">
        <v>16380</v>
      </c>
      <c r="D8" s="7" t="n">
        <v>17640</v>
      </c>
      <c r="E8" s="7" t="n">
        <v>18000</v>
      </c>
      <c r="F8" s="7" t="n">
        <v>18900</v>
      </c>
      <c r="G8" s="7" t="n">
        <v>19260</v>
      </c>
      <c r="H8" s="7" t="n">
        <v>20160</v>
      </c>
      <c r="I8" s="7" t="n">
        <v>19440</v>
      </c>
      <c r="J8" s="7" t="n">
        <v>18360</v>
      </c>
      <c r="K8" s="7" t="n">
        <v>18180</v>
      </c>
      <c r="L8" s="7" t="n">
        <v>18720</v>
      </c>
      <c r="M8" s="7" t="n">
        <v>20700</v>
      </c>
      <c r="N8" s="8">
        <f>SUM(B8:M8)</f>
        <v/>
      </c>
    </row>
    <row r="9">
      <c r="A9" t="inlineStr">
        <is>
          <t>Packaging/delivery/fees (variable)</t>
        </is>
      </c>
      <c r="B9" s="7" t="n">
        <v>1620</v>
      </c>
      <c r="C9" s="7" t="n">
        <v>1638</v>
      </c>
      <c r="D9" s="7" t="n">
        <v>1764</v>
      </c>
      <c r="E9" s="7" t="n">
        <v>1800</v>
      </c>
      <c r="F9" s="7" t="n">
        <v>1890</v>
      </c>
      <c r="G9" s="7" t="n">
        <v>1926</v>
      </c>
      <c r="H9" s="7" t="n">
        <v>2016</v>
      </c>
      <c r="I9" s="7" t="n">
        <v>1944</v>
      </c>
      <c r="J9" s="7" t="n">
        <v>1836</v>
      </c>
      <c r="K9" s="7" t="n">
        <v>1818</v>
      </c>
      <c r="L9" s="7" t="n">
        <v>1872</v>
      </c>
      <c r="M9" s="7" t="n">
        <v>2070</v>
      </c>
      <c r="N9" s="8">
        <f>SUM(B9:M9)</f>
        <v/>
      </c>
    </row>
    <row r="10">
      <c r="A10" s="9" t="inlineStr">
        <is>
          <t>Contribution</t>
        </is>
      </c>
      <c r="B10" s="10">
        <f>B7-SUM(B8:B9)</f>
        <v/>
      </c>
      <c r="C10" s="10">
        <f>C7-SUM(C8:C9)</f>
        <v/>
      </c>
      <c r="D10" s="10">
        <f>D7-SUM(D8:D9)</f>
        <v/>
      </c>
      <c r="E10" s="10">
        <f>E7-SUM(E8:E9)</f>
        <v/>
      </c>
      <c r="F10" s="10">
        <f>F7-SUM(F8:F9)</f>
        <v/>
      </c>
      <c r="G10" s="10">
        <f>G7-SUM(G8:G9)</f>
        <v/>
      </c>
      <c r="H10" s="10">
        <f>H7-SUM(H8:H9)</f>
        <v/>
      </c>
      <c r="I10" s="10">
        <f>I7-SUM(I8:I9)</f>
        <v/>
      </c>
      <c r="J10" s="10">
        <f>J7-SUM(J8:J9)</f>
        <v/>
      </c>
      <c r="K10" s="10">
        <f>K7-SUM(K8:K9)</f>
        <v/>
      </c>
      <c r="L10" s="10">
        <f>L7-SUM(L8:L9)</f>
        <v/>
      </c>
      <c r="M10" s="10">
        <f>M7-SUM(M8:M9)</f>
        <v/>
      </c>
      <c r="N10" s="10">
        <f>SUM(B10:M10)</f>
        <v/>
      </c>
    </row>
    <row r="11">
      <c r="A11" t="inlineStr">
        <is>
          <t>Guaranteed payroll</t>
        </is>
      </c>
      <c r="B11" s="7" t="n">
        <v>15000</v>
      </c>
      <c r="C11" s="7" t="n">
        <v>15000</v>
      </c>
      <c r="D11" s="7" t="n">
        <v>15000</v>
      </c>
      <c r="E11" s="7" t="n">
        <v>15000</v>
      </c>
      <c r="F11" s="7" t="n">
        <v>15000</v>
      </c>
      <c r="G11" s="7" t="n">
        <v>15000</v>
      </c>
      <c r="H11" s="7" t="n">
        <v>15000</v>
      </c>
      <c r="I11" s="7" t="n">
        <v>15000</v>
      </c>
      <c r="J11" s="7" t="n">
        <v>15000</v>
      </c>
      <c r="K11" s="7" t="n">
        <v>15000</v>
      </c>
      <c r="L11" s="7" t="n">
        <v>15000</v>
      </c>
      <c r="M11" s="7" t="n">
        <v>15000</v>
      </c>
      <c r="N11" s="8">
        <f>SUM(B11:M11)</f>
        <v/>
      </c>
    </row>
    <row r="12">
      <c r="A12" t="inlineStr">
        <is>
          <t>Employer payroll costs</t>
        </is>
      </c>
      <c r="B12" s="7" t="n">
        <v>1500</v>
      </c>
      <c r="C12" s="7" t="n">
        <v>1500</v>
      </c>
      <c r="D12" s="7" t="n">
        <v>1500</v>
      </c>
      <c r="E12" s="7" t="n">
        <v>1500</v>
      </c>
      <c r="F12" s="7" t="n">
        <v>1500</v>
      </c>
      <c r="G12" s="7" t="n">
        <v>1500</v>
      </c>
      <c r="H12" s="7" t="n">
        <v>1500</v>
      </c>
      <c r="I12" s="7" t="n">
        <v>1500</v>
      </c>
      <c r="J12" s="7" t="n">
        <v>1500</v>
      </c>
      <c r="K12" s="7" t="n">
        <v>1500</v>
      </c>
      <c r="L12" s="7" t="n">
        <v>1500</v>
      </c>
      <c r="M12" s="7" t="n">
        <v>1500</v>
      </c>
      <c r="N12" s="8">
        <f>SUM(B12:M12)</f>
        <v/>
      </c>
    </row>
    <row r="13">
      <c r="A13" t="inlineStr">
        <is>
          <t>Owner compensation</t>
        </is>
      </c>
      <c r="B13" s="7" t="n">
        <v>4000</v>
      </c>
      <c r="C13" s="7" t="n">
        <v>4000</v>
      </c>
      <c r="D13" s="7" t="n">
        <v>4000</v>
      </c>
      <c r="E13" s="7" t="n">
        <v>4000</v>
      </c>
      <c r="F13" s="7" t="n">
        <v>4000</v>
      </c>
      <c r="G13" s="7" t="n">
        <v>4000</v>
      </c>
      <c r="H13" s="7" t="n">
        <v>4000</v>
      </c>
      <c r="I13" s="7" t="n">
        <v>4000</v>
      </c>
      <c r="J13" s="7" t="n">
        <v>4000</v>
      </c>
      <c r="K13" s="7" t="n">
        <v>4000</v>
      </c>
      <c r="L13" s="7" t="n">
        <v>4000</v>
      </c>
      <c r="M13" s="7" t="n">
        <v>4000</v>
      </c>
      <c r="N13" s="8">
        <f>SUM(B13:M13)</f>
        <v/>
      </c>
    </row>
    <row r="14">
      <c r="A14" t="inlineStr">
        <is>
          <t>Occupancy</t>
        </is>
      </c>
      <c r="B14" s="7" t="n">
        <v>6000</v>
      </c>
      <c r="C14" s="7" t="n">
        <v>6000</v>
      </c>
      <c r="D14" s="7" t="n">
        <v>6000</v>
      </c>
      <c r="E14" s="7" t="n">
        <v>6000</v>
      </c>
      <c r="F14" s="7" t="n">
        <v>6000</v>
      </c>
      <c r="G14" s="7" t="n">
        <v>6000</v>
      </c>
      <c r="H14" s="7" t="n">
        <v>6000</v>
      </c>
      <c r="I14" s="7" t="n">
        <v>6000</v>
      </c>
      <c r="J14" s="7" t="n">
        <v>6000</v>
      </c>
      <c r="K14" s="7" t="n">
        <v>6000</v>
      </c>
      <c r="L14" s="7" t="n">
        <v>6000</v>
      </c>
      <c r="M14" s="7" t="n">
        <v>6000</v>
      </c>
      <c r="N14" s="8">
        <f>SUM(B14:M14)</f>
        <v/>
      </c>
    </row>
    <row r="15">
      <c r="A15" t="inlineStr">
        <is>
          <t>Utilities</t>
        </is>
      </c>
      <c r="B15" s="7" t="n">
        <v>1200</v>
      </c>
      <c r="C15" s="7" t="n">
        <v>1200</v>
      </c>
      <c r="D15" s="7" t="n">
        <v>1200</v>
      </c>
      <c r="E15" s="7" t="n">
        <v>1200</v>
      </c>
      <c r="F15" s="7" t="n">
        <v>1200</v>
      </c>
      <c r="G15" s="7" t="n">
        <v>1200</v>
      </c>
      <c r="H15" s="7" t="n">
        <v>1200</v>
      </c>
      <c r="I15" s="7" t="n">
        <v>1200</v>
      </c>
      <c r="J15" s="7" t="n">
        <v>1200</v>
      </c>
      <c r="K15" s="7" t="n">
        <v>1200</v>
      </c>
      <c r="L15" s="7" t="n">
        <v>1200</v>
      </c>
      <c r="M15" s="7" t="n">
        <v>1200</v>
      </c>
      <c r="N15" s="8">
        <f>SUM(B15:M15)</f>
        <v/>
      </c>
    </row>
    <row r="16">
      <c r="A16" t="inlineStr">
        <is>
          <t>Marketing</t>
        </is>
      </c>
      <c r="B16" s="7" t="n">
        <v>800</v>
      </c>
      <c r="C16" s="7" t="n">
        <v>800</v>
      </c>
      <c r="D16" s="7" t="n">
        <v>800</v>
      </c>
      <c r="E16" s="7" t="n">
        <v>800</v>
      </c>
      <c r="F16" s="7" t="n">
        <v>800</v>
      </c>
      <c r="G16" s="7" t="n">
        <v>800</v>
      </c>
      <c r="H16" s="7" t="n">
        <v>800</v>
      </c>
      <c r="I16" s="7" t="n">
        <v>800</v>
      </c>
      <c r="J16" s="7" t="n">
        <v>800</v>
      </c>
      <c r="K16" s="7" t="n">
        <v>800</v>
      </c>
      <c r="L16" s="7" t="n">
        <v>800</v>
      </c>
      <c r="M16" s="7" t="n">
        <v>800</v>
      </c>
      <c r="N16" s="8">
        <f>SUM(B16:M16)</f>
        <v/>
      </c>
    </row>
    <row r="17">
      <c r="A17" t="inlineStr">
        <is>
          <t>Other committed expenses</t>
        </is>
      </c>
      <c r="B17" s="7" t="n">
        <v>1700</v>
      </c>
      <c r="C17" s="7" t="n">
        <v>1700</v>
      </c>
      <c r="D17" s="7" t="n">
        <v>1700</v>
      </c>
      <c r="E17" s="7" t="n">
        <v>1700</v>
      </c>
      <c r="F17" s="7" t="n">
        <v>1700</v>
      </c>
      <c r="G17" s="7" t="n">
        <v>1700</v>
      </c>
      <c r="H17" s="7" t="n">
        <v>1700</v>
      </c>
      <c r="I17" s="7" t="n">
        <v>1700</v>
      </c>
      <c r="J17" s="7" t="n">
        <v>1700</v>
      </c>
      <c r="K17" s="7" t="n">
        <v>1700</v>
      </c>
      <c r="L17" s="7" t="n">
        <v>1700</v>
      </c>
      <c r="M17" s="7" t="n">
        <v>1700</v>
      </c>
      <c r="N17" s="8">
        <f>SUM(B17:M17)</f>
        <v/>
      </c>
    </row>
    <row r="18">
      <c r="A18" s="9" t="inlineStr">
        <is>
          <t>Committed expenses</t>
        </is>
      </c>
      <c r="B18" s="10">
        <f>SUM(B11:B17)</f>
        <v/>
      </c>
      <c r="C18" s="10">
        <f>SUM(C11:C17)</f>
        <v/>
      </c>
      <c r="D18" s="10">
        <f>SUM(D11:D17)</f>
        <v/>
      </c>
      <c r="E18" s="10">
        <f>SUM(E11:E17)</f>
        <v/>
      </c>
      <c r="F18" s="10">
        <f>SUM(F11:F17)</f>
        <v/>
      </c>
      <c r="G18" s="10">
        <f>SUM(G11:G17)</f>
        <v/>
      </c>
      <c r="H18" s="10">
        <f>SUM(H11:H17)</f>
        <v/>
      </c>
      <c r="I18" s="10">
        <f>SUM(I11:I17)</f>
        <v/>
      </c>
      <c r="J18" s="10">
        <f>SUM(J11:J17)</f>
        <v/>
      </c>
      <c r="K18" s="10">
        <f>SUM(K11:K17)</f>
        <v/>
      </c>
      <c r="L18" s="10">
        <f>SUM(L11:L17)</f>
        <v/>
      </c>
      <c r="M18" s="10">
        <f>SUM(M11:M17)</f>
        <v/>
      </c>
      <c r="N18" s="10">
        <f>SUM(B18:M18)</f>
        <v/>
      </c>
    </row>
    <row r="19">
      <c r="A19" s="9" t="inlineStr">
        <is>
          <t>Budget operating profit</t>
        </is>
      </c>
      <c r="B19" s="10">
        <f>B10-B18</f>
        <v/>
      </c>
      <c r="C19" s="10">
        <f>C10-C18</f>
        <v/>
      </c>
      <c r="D19" s="10">
        <f>D10-D18</f>
        <v/>
      </c>
      <c r="E19" s="10">
        <f>E10-E18</f>
        <v/>
      </c>
      <c r="F19" s="10">
        <f>F10-F18</f>
        <v/>
      </c>
      <c r="G19" s="10">
        <f>G10-G18</f>
        <v/>
      </c>
      <c r="H19" s="10">
        <f>H10-H18</f>
        <v/>
      </c>
      <c r="I19" s="10">
        <f>I10-I18</f>
        <v/>
      </c>
      <c r="J19" s="10">
        <f>J10-J18</f>
        <v/>
      </c>
      <c r="K19" s="10">
        <f>K10-K18</f>
        <v/>
      </c>
      <c r="L19" s="10">
        <f>L10-L18</f>
        <v/>
      </c>
      <c r="M19" s="10">
        <f>M10-M18</f>
        <v/>
      </c>
      <c r="N19" s="10">
        <f>SUM(B19:M19)</f>
        <v/>
      </c>
    </row>
    <row r="20">
      <c r="A20" t="inlineStr">
        <is>
          <t>Contribution margin</t>
        </is>
      </c>
      <c r="B20" s="11">
        <f>IF(B7=0,"",B10/B7)</f>
        <v/>
      </c>
      <c r="C20" s="11">
        <f>IF(C7=0,"",C10/C7)</f>
        <v/>
      </c>
      <c r="D20" s="11">
        <f>IF(D7=0,"",D10/D7)</f>
        <v/>
      </c>
      <c r="E20" s="11">
        <f>IF(E7=0,"",E10/E7)</f>
        <v/>
      </c>
      <c r="F20" s="11">
        <f>IF(F7=0,"",F10/F7)</f>
        <v/>
      </c>
      <c r="G20" s="11">
        <f>IF(G7=0,"",G10/G7)</f>
        <v/>
      </c>
      <c r="H20" s="11">
        <f>IF(H7=0,"",H10/H7)</f>
        <v/>
      </c>
      <c r="I20" s="11">
        <f>IF(I7=0,"",I10/I7)</f>
        <v/>
      </c>
      <c r="J20" s="11">
        <f>IF(J7=0,"",J10/J7)</f>
        <v/>
      </c>
      <c r="K20" s="11">
        <f>IF(K7=0,"",K10/K7)</f>
        <v/>
      </c>
      <c r="L20" s="11">
        <f>IF(L7=0,"",L10/L7)</f>
        <v/>
      </c>
      <c r="M20" s="11">
        <f>IF(M7=0,"",M10/M7)</f>
        <v/>
      </c>
      <c r="N20" s="11">
        <f>IF(N7=0,"",N10/N7)</f>
        <v/>
      </c>
    </row>
    <row r="21">
      <c r="A21" t="inlineStr">
        <is>
          <t>Break-even sales</t>
        </is>
      </c>
      <c r="B21" s="8">
        <f>IF(B7=0,"No sales",IF(B10&lt;=0,"No positive contribution",B18/(B10/B7)))</f>
        <v/>
      </c>
      <c r="C21" s="8">
        <f>IF(C7=0,"No sales",IF(C10&lt;=0,"No positive contribution",C18/(C10/C7)))</f>
        <v/>
      </c>
      <c r="D21" s="8">
        <f>IF(D7=0,"No sales",IF(D10&lt;=0,"No positive contribution",D18/(D10/D7)))</f>
        <v/>
      </c>
      <c r="E21" s="8">
        <f>IF(E7=0,"No sales",IF(E10&lt;=0,"No positive contribution",E18/(E10/E7)))</f>
        <v/>
      </c>
      <c r="F21" s="8">
        <f>IF(F7=0,"No sales",IF(F10&lt;=0,"No positive contribution",F18/(F10/F7)))</f>
        <v/>
      </c>
      <c r="G21" s="8">
        <f>IF(G7=0,"No sales",IF(G10&lt;=0,"No positive contribution",G18/(G10/G7)))</f>
        <v/>
      </c>
      <c r="H21" s="8">
        <f>IF(H7=0,"No sales",IF(H10&lt;=0,"No positive contribution",H18/(H10/H7)))</f>
        <v/>
      </c>
      <c r="I21" s="8">
        <f>IF(I7=0,"No sales",IF(I10&lt;=0,"No positive contribution",I18/(I10/I7)))</f>
        <v/>
      </c>
      <c r="J21" s="8">
        <f>IF(J7=0,"No sales",IF(J10&lt;=0,"No positive contribution",J18/(J10/J7)))</f>
        <v/>
      </c>
      <c r="K21" s="8">
        <f>IF(K7=0,"No sales",IF(K10&lt;=0,"No positive contribution",K18/(K10/K7)))</f>
        <v/>
      </c>
      <c r="L21" s="8">
        <f>IF(L7=0,"No sales",IF(L10&lt;=0,"No positive contribution",L18/(L10/L7)))</f>
        <v/>
      </c>
      <c r="M21" s="8">
        <f>IF(M7=0,"No sales",IF(M10&lt;=0,"No positive contribution",M18/(M10/M7)))</f>
        <v/>
      </c>
      <c r="N21" s="8">
        <f>IF(N7=0,"No sales",IF(N10&lt;=0,"No positive contribution",N18/(N10/N7)))</f>
        <v/>
      </c>
    </row>
    <row r="22"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6" t="inlineStr">
        <is>
          <t>ACTUAL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t="inlineStr">
        <is>
          <t>Food sales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8">
        <f>SUM(B24:M24)</f>
        <v/>
      </c>
    </row>
    <row r="25">
      <c r="A25" t="inlineStr">
        <is>
          <t>Beverage sales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8">
        <f>SUM(B25:M25)</f>
        <v/>
      </c>
    </row>
    <row r="26">
      <c r="A26" s="9" t="inlineStr">
        <is>
          <t>Total sales</t>
        </is>
      </c>
      <c r="B26" s="10">
        <f>IF(COUNT(B24:B25)=0,"",SUM(B24:B25))</f>
        <v/>
      </c>
      <c r="C26" s="10">
        <f>IF(COUNT(C24:C25)=0,"",SUM(C24:C25))</f>
        <v/>
      </c>
      <c r="D26" s="10">
        <f>IF(COUNT(D24:D25)=0,"",SUM(D24:D25))</f>
        <v/>
      </c>
      <c r="E26" s="10">
        <f>IF(COUNT(E24:E25)=0,"",SUM(E24:E25))</f>
        <v/>
      </c>
      <c r="F26" s="10">
        <f>IF(COUNT(F24:F25)=0,"",SUM(F24:F25))</f>
        <v/>
      </c>
      <c r="G26" s="10">
        <f>IF(COUNT(G24:G25)=0,"",SUM(G24:G25))</f>
        <v/>
      </c>
      <c r="H26" s="10">
        <f>IF(COUNT(H24:H25)=0,"",SUM(H24:H25))</f>
        <v/>
      </c>
      <c r="I26" s="10">
        <f>IF(COUNT(I24:I25)=0,"",SUM(I24:I25))</f>
        <v/>
      </c>
      <c r="J26" s="10">
        <f>IF(COUNT(J24:J25)=0,"",SUM(J24:J25))</f>
        <v/>
      </c>
      <c r="K26" s="10">
        <f>IF(COUNT(K24:K25)=0,"",SUM(K24:K25))</f>
        <v/>
      </c>
      <c r="L26" s="10">
        <f>IF(COUNT(L24:L25)=0,"",SUM(L24:L25))</f>
        <v/>
      </c>
      <c r="M26" s="10">
        <f>IF(COUNT(M24:M25)=0,"",SUM(M24:M25))</f>
        <v/>
      </c>
      <c r="N26" s="10">
        <f>SUM(B26:M26)</f>
        <v/>
      </c>
    </row>
    <row r="27">
      <c r="A27" t="inlineStr">
        <is>
          <t>Food and beverage COGS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8">
        <f>SUM(B27:M27)</f>
        <v/>
      </c>
    </row>
    <row r="28">
      <c r="A28" t="inlineStr">
        <is>
          <t>Packaging/delivery/fees (variable)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8">
        <f>SUM(B28:M28)</f>
        <v/>
      </c>
    </row>
    <row r="29">
      <c r="A29" s="9" t="inlineStr">
        <is>
          <t>Contribution</t>
        </is>
      </c>
      <c r="B29" s="10">
        <f>IF(B26="","",B26-SUM(B27:B28))</f>
        <v/>
      </c>
      <c r="C29" s="10">
        <f>IF(C26="","",C26-SUM(C27:C28))</f>
        <v/>
      </c>
      <c r="D29" s="10">
        <f>IF(D26="","",D26-SUM(D27:D28))</f>
        <v/>
      </c>
      <c r="E29" s="10">
        <f>IF(E26="","",E26-SUM(E27:E28))</f>
        <v/>
      </c>
      <c r="F29" s="10">
        <f>IF(F26="","",F26-SUM(F27:F28))</f>
        <v/>
      </c>
      <c r="G29" s="10">
        <f>IF(G26="","",G26-SUM(G27:G28))</f>
        <v/>
      </c>
      <c r="H29" s="10">
        <f>IF(H26="","",H26-SUM(H27:H28))</f>
        <v/>
      </c>
      <c r="I29" s="10">
        <f>IF(I26="","",I26-SUM(I27:I28))</f>
        <v/>
      </c>
      <c r="J29" s="10">
        <f>IF(J26="","",J26-SUM(J27:J28))</f>
        <v/>
      </c>
      <c r="K29" s="10">
        <f>IF(K26="","",K26-SUM(K27:K28))</f>
        <v/>
      </c>
      <c r="L29" s="10">
        <f>IF(L26="","",L26-SUM(L27:L28))</f>
        <v/>
      </c>
      <c r="M29" s="10">
        <f>IF(M26="","",M26-SUM(M27:M28))</f>
        <v/>
      </c>
      <c r="N29" s="10">
        <f>SUM(B29:M29)</f>
        <v/>
      </c>
    </row>
    <row r="30">
      <c r="A30" t="inlineStr">
        <is>
          <t>Guaranteed payroll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8">
        <f>SUM(B30:M30)</f>
        <v/>
      </c>
    </row>
    <row r="31">
      <c r="A31" t="inlineStr">
        <is>
          <t>Employer payroll costs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8">
        <f>SUM(B31:M31)</f>
        <v/>
      </c>
    </row>
    <row r="32">
      <c r="A32" t="inlineStr">
        <is>
          <t>Owner compensation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8">
        <f>SUM(B32:M32)</f>
        <v/>
      </c>
    </row>
    <row r="33">
      <c r="A33" t="inlineStr">
        <is>
          <t>Occupancy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8">
        <f>SUM(B33:M33)</f>
        <v/>
      </c>
    </row>
    <row r="34">
      <c r="A34" t="inlineStr">
        <is>
          <t>Utilities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8">
        <f>SUM(B34:M34)</f>
        <v/>
      </c>
    </row>
    <row r="35">
      <c r="A35" t="inlineStr">
        <is>
          <t>Marketing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8">
        <f>SUM(B35:M35)</f>
        <v/>
      </c>
    </row>
    <row r="36">
      <c r="A36" t="inlineStr">
        <is>
          <t>Other committed expenses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8">
        <f>SUM(B36:M36)</f>
        <v/>
      </c>
    </row>
    <row r="37">
      <c r="A37" s="9" t="inlineStr">
        <is>
          <t>Committed expenses</t>
        </is>
      </c>
      <c r="B37" s="10">
        <f>IF(COUNT(B30:B36)=0,"",SUM(B30:B36))</f>
        <v/>
      </c>
      <c r="C37" s="10">
        <f>IF(COUNT(C30:C36)=0,"",SUM(C30:C36))</f>
        <v/>
      </c>
      <c r="D37" s="10">
        <f>IF(COUNT(D30:D36)=0,"",SUM(D30:D36))</f>
        <v/>
      </c>
      <c r="E37" s="10">
        <f>IF(COUNT(E30:E36)=0,"",SUM(E30:E36))</f>
        <v/>
      </c>
      <c r="F37" s="10">
        <f>IF(COUNT(F30:F36)=0,"",SUM(F30:F36))</f>
        <v/>
      </c>
      <c r="G37" s="10">
        <f>IF(COUNT(G30:G36)=0,"",SUM(G30:G36))</f>
        <v/>
      </c>
      <c r="H37" s="10">
        <f>IF(COUNT(H30:H36)=0,"",SUM(H30:H36))</f>
        <v/>
      </c>
      <c r="I37" s="10">
        <f>IF(COUNT(I30:I36)=0,"",SUM(I30:I36))</f>
        <v/>
      </c>
      <c r="J37" s="10">
        <f>IF(COUNT(J30:J36)=0,"",SUM(J30:J36))</f>
        <v/>
      </c>
      <c r="K37" s="10">
        <f>IF(COUNT(K30:K36)=0,"",SUM(K30:K36))</f>
        <v/>
      </c>
      <c r="L37" s="10">
        <f>IF(COUNT(L30:L36)=0,"",SUM(L30:L36))</f>
        <v/>
      </c>
      <c r="M37" s="10">
        <f>IF(COUNT(M30:M36)=0,"",SUM(M30:M36))</f>
        <v/>
      </c>
      <c r="N37" s="10">
        <f>SUM(B37:M37)</f>
        <v/>
      </c>
    </row>
    <row r="38">
      <c r="A38" s="9" t="inlineStr">
        <is>
          <t>Actual operating profit</t>
        </is>
      </c>
      <c r="B38" s="10">
        <f>IF(OR(B26="",B37=""),"",B29-B37)</f>
        <v/>
      </c>
      <c r="C38" s="10">
        <f>IF(OR(C26="",C37=""),"",C29-C37)</f>
        <v/>
      </c>
      <c r="D38" s="10">
        <f>IF(OR(D26="",D37=""),"",D29-D37)</f>
        <v/>
      </c>
      <c r="E38" s="10">
        <f>IF(OR(E26="",E37=""),"",E29-E37)</f>
        <v/>
      </c>
      <c r="F38" s="10">
        <f>IF(OR(F26="",F37=""),"",F29-F37)</f>
        <v/>
      </c>
      <c r="G38" s="10">
        <f>IF(OR(G26="",G37=""),"",G29-G37)</f>
        <v/>
      </c>
      <c r="H38" s="10">
        <f>IF(OR(H26="",H37=""),"",H29-H37)</f>
        <v/>
      </c>
      <c r="I38" s="10">
        <f>IF(OR(I26="",I37=""),"",I29-I37)</f>
        <v/>
      </c>
      <c r="J38" s="10">
        <f>IF(OR(J26="",J37=""),"",J29-J37)</f>
        <v/>
      </c>
      <c r="K38" s="10">
        <f>IF(OR(K26="",K37=""),"",K29-K37)</f>
        <v/>
      </c>
      <c r="L38" s="10">
        <f>IF(OR(L26="",L37=""),"",L29-L37)</f>
        <v/>
      </c>
      <c r="M38" s="10">
        <f>IF(OR(M26="",M37=""),"",M29-M37)</f>
        <v/>
      </c>
      <c r="N38" s="10">
        <f>SUM(B38:M38)</f>
        <v/>
      </c>
    </row>
    <row r="39">
      <c r="A39" t="inlineStr">
        <is>
          <t>Contribution margin</t>
        </is>
      </c>
      <c r="B39" s="11">
        <f>IF(OR(B26="",B26=0),"",B29/B26)</f>
        <v/>
      </c>
      <c r="C39" s="11">
        <f>IF(OR(C26="",C26=0),"",C29/C26)</f>
        <v/>
      </c>
      <c r="D39" s="11">
        <f>IF(OR(D26="",D26=0),"",D29/D26)</f>
        <v/>
      </c>
      <c r="E39" s="11">
        <f>IF(OR(E26="",E26=0),"",E29/E26)</f>
        <v/>
      </c>
      <c r="F39" s="11">
        <f>IF(OR(F26="",F26=0),"",F29/F26)</f>
        <v/>
      </c>
      <c r="G39" s="11">
        <f>IF(OR(G26="",G26=0),"",G29/G26)</f>
        <v/>
      </c>
      <c r="H39" s="11">
        <f>IF(OR(H26="",H26=0),"",H29/H26)</f>
        <v/>
      </c>
      <c r="I39" s="11">
        <f>IF(OR(I26="",I26=0),"",I29/I26)</f>
        <v/>
      </c>
      <c r="J39" s="11">
        <f>IF(OR(J26="",J26=0),"",J29/J26)</f>
        <v/>
      </c>
      <c r="K39" s="11">
        <f>IF(OR(K26="",K26=0),"",K29/K26)</f>
        <v/>
      </c>
      <c r="L39" s="11">
        <f>IF(OR(L26="",L26=0),"",L29/L26)</f>
        <v/>
      </c>
      <c r="M39" s="11">
        <f>IF(OR(M26="",M26=0),"",M29/M26)</f>
        <v/>
      </c>
      <c r="N39" s="11">
        <f>IF(N26=0,"",N29/N26)</f>
        <v/>
      </c>
    </row>
    <row r="40">
      <c r="A40" t="inlineStr">
        <is>
          <t>Break-even sales</t>
        </is>
      </c>
      <c r="B40" s="8">
        <f>IF(B26="","",IF(B26=0,"No sales",IF(B29&lt;=0,"No positive contribution",B37/(B29/B26))))</f>
        <v/>
      </c>
      <c r="C40" s="8">
        <f>IF(C26="","",IF(C26=0,"No sales",IF(C29&lt;=0,"No positive contribution",C37/(C29/C26))))</f>
        <v/>
      </c>
      <c r="D40" s="8">
        <f>IF(D26="","",IF(D26=0,"No sales",IF(D29&lt;=0,"No positive contribution",D37/(D29/D26))))</f>
        <v/>
      </c>
      <c r="E40" s="8">
        <f>IF(E26="","",IF(E26=0,"No sales",IF(E29&lt;=0,"No positive contribution",E37/(E29/E26))))</f>
        <v/>
      </c>
      <c r="F40" s="8">
        <f>IF(F26="","",IF(F26=0,"No sales",IF(F29&lt;=0,"No positive contribution",F37/(F29/F26))))</f>
        <v/>
      </c>
      <c r="G40" s="8">
        <f>IF(G26="","",IF(G26=0,"No sales",IF(G29&lt;=0,"No positive contribution",G37/(G29/G26))))</f>
        <v/>
      </c>
      <c r="H40" s="8">
        <f>IF(H26="","",IF(H26=0,"No sales",IF(H29&lt;=0,"No positive contribution",H37/(H29/H26))))</f>
        <v/>
      </c>
      <c r="I40" s="8">
        <f>IF(I26="","",IF(I26=0,"No sales",IF(I29&lt;=0,"No positive contribution",I37/(I29/I26))))</f>
        <v/>
      </c>
      <c r="J40" s="8">
        <f>IF(J26="","",IF(J26=0,"No sales",IF(J29&lt;=0,"No positive contribution",J37/(J29/J26))))</f>
        <v/>
      </c>
      <c r="K40" s="8">
        <f>IF(K26="","",IF(K26=0,"No sales",IF(K29&lt;=0,"No positive contribution",K37/(K29/K26))))</f>
        <v/>
      </c>
      <c r="L40" s="8">
        <f>IF(L26="","",IF(L26=0,"No sales",IF(L29&lt;=0,"No positive contribution",L37/(L29/L26))))</f>
        <v/>
      </c>
      <c r="M40" s="8">
        <f>IF(M26="","",IF(M26=0,"No sales",IF(M29&lt;=0,"No positive contribution",M37/(M29/M26))))</f>
        <v/>
      </c>
      <c r="N40" s="8">
        <f>IF(N26=0,"No sales",IF(N29&lt;=0,"No positive contribution",N37/(N29/N26)))</f>
        <v/>
      </c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6" t="inlineStr">
        <is>
          <t>VARIANCE: ACTUAL MINUS BUDGET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</row>
    <row r="43">
      <c r="A43" t="inlineStr">
        <is>
          <t>Sales</t>
        </is>
      </c>
      <c r="B43" s="8">
        <f>IF(B38="","",B26-B7)</f>
        <v/>
      </c>
      <c r="C43" s="8">
        <f>IF(C38="","",C26-C7)</f>
        <v/>
      </c>
      <c r="D43" s="8">
        <f>IF(D38="","",D26-D7)</f>
        <v/>
      </c>
      <c r="E43" s="8">
        <f>IF(E38="","",E26-E7)</f>
        <v/>
      </c>
      <c r="F43" s="8">
        <f>IF(F38="","",F26-F7)</f>
        <v/>
      </c>
      <c r="G43" s="8">
        <f>IF(G38="","",G26-G7)</f>
        <v/>
      </c>
      <c r="H43" s="8">
        <f>IF(H38="","",H26-H7)</f>
        <v/>
      </c>
      <c r="I43" s="8">
        <f>IF(I38="","",I26-I7)</f>
        <v/>
      </c>
      <c r="J43" s="8">
        <f>IF(J38="","",J26-J7)</f>
        <v/>
      </c>
      <c r="K43" s="8">
        <f>IF(K38="","",K26-K7)</f>
        <v/>
      </c>
      <c r="L43" s="8">
        <f>IF(L38="","",L26-L7)</f>
        <v/>
      </c>
      <c r="M43" s="8">
        <f>IF(M38="","",M26-M7)</f>
        <v/>
      </c>
      <c r="N43" s="8">
        <f>SUM(B43:M43)</f>
        <v/>
      </c>
    </row>
    <row r="44">
      <c r="A44" t="inlineStr">
        <is>
          <t>Variable costs</t>
        </is>
      </c>
      <c r="B44" s="8">
        <f>IF(B38="","",SUM(B27:B28)-SUM(B8:B9))</f>
        <v/>
      </c>
      <c r="C44" s="8">
        <f>IF(C38="","",SUM(C27:C28)-SUM(C8:C9))</f>
        <v/>
      </c>
      <c r="D44" s="8">
        <f>IF(D38="","",SUM(D27:D28)-SUM(D8:D9))</f>
        <v/>
      </c>
      <c r="E44" s="8">
        <f>IF(E38="","",SUM(E27:E28)-SUM(E8:E9))</f>
        <v/>
      </c>
      <c r="F44" s="8">
        <f>IF(F38="","",SUM(F27:F28)-SUM(F8:F9))</f>
        <v/>
      </c>
      <c r="G44" s="8">
        <f>IF(G38="","",SUM(G27:G28)-SUM(G8:G9))</f>
        <v/>
      </c>
      <c r="H44" s="8">
        <f>IF(H38="","",SUM(H27:H28)-SUM(H8:H9))</f>
        <v/>
      </c>
      <c r="I44" s="8">
        <f>IF(I38="","",SUM(I27:I28)-SUM(I8:I9))</f>
        <v/>
      </c>
      <c r="J44" s="8">
        <f>IF(J38="","",SUM(J27:J28)-SUM(J8:J9))</f>
        <v/>
      </c>
      <c r="K44" s="8">
        <f>IF(K38="","",SUM(K27:K28)-SUM(K8:K9))</f>
        <v/>
      </c>
      <c r="L44" s="8">
        <f>IF(L38="","",SUM(L27:L28)-SUM(L8:L9))</f>
        <v/>
      </c>
      <c r="M44" s="8">
        <f>IF(M38="","",SUM(M27:M28)-SUM(M8:M9))</f>
        <v/>
      </c>
      <c r="N44" s="8">
        <f>SUM(B44:M44)</f>
        <v/>
      </c>
    </row>
    <row r="45">
      <c r="A45" t="inlineStr">
        <is>
          <t>Committed expenses</t>
        </is>
      </c>
      <c r="B45" s="8">
        <f>IF(B38="","",B37-B18)</f>
        <v/>
      </c>
      <c r="C45" s="8">
        <f>IF(C38="","",C37-C18)</f>
        <v/>
      </c>
      <c r="D45" s="8">
        <f>IF(D38="","",D37-D18)</f>
        <v/>
      </c>
      <c r="E45" s="8">
        <f>IF(E38="","",E37-E18)</f>
        <v/>
      </c>
      <c r="F45" s="8">
        <f>IF(F38="","",F37-F18)</f>
        <v/>
      </c>
      <c r="G45" s="8">
        <f>IF(G38="","",G37-G18)</f>
        <v/>
      </c>
      <c r="H45" s="8">
        <f>IF(H38="","",H37-H18)</f>
        <v/>
      </c>
      <c r="I45" s="8">
        <f>IF(I38="","",I37-I18)</f>
        <v/>
      </c>
      <c r="J45" s="8">
        <f>IF(J38="","",J37-J18)</f>
        <v/>
      </c>
      <c r="K45" s="8">
        <f>IF(K38="","",K37-K18)</f>
        <v/>
      </c>
      <c r="L45" s="8">
        <f>IF(L38="","",L37-L18)</f>
        <v/>
      </c>
      <c r="M45" s="8">
        <f>IF(M38="","",M37-M18)</f>
        <v/>
      </c>
      <c r="N45" s="8">
        <f>SUM(B45:M45)</f>
        <v/>
      </c>
    </row>
    <row r="46">
      <c r="A46" s="9" t="inlineStr">
        <is>
          <t>Operating profit</t>
        </is>
      </c>
      <c r="B46" s="10">
        <f>IF(B38="","",B38-B19)</f>
        <v/>
      </c>
      <c r="C46" s="10">
        <f>IF(C38="","",C38-C19)</f>
        <v/>
      </c>
      <c r="D46" s="10">
        <f>IF(D38="","",D38-D19)</f>
        <v/>
      </c>
      <c r="E46" s="10">
        <f>IF(E38="","",E38-E19)</f>
        <v/>
      </c>
      <c r="F46" s="10">
        <f>IF(F38="","",F38-F19)</f>
        <v/>
      </c>
      <c r="G46" s="10">
        <f>IF(G38="","",G38-G19)</f>
        <v/>
      </c>
      <c r="H46" s="10">
        <f>IF(H38="","",H38-H19)</f>
        <v/>
      </c>
      <c r="I46" s="10">
        <f>IF(I38="","",I38-I19)</f>
        <v/>
      </c>
      <c r="J46" s="10">
        <f>IF(J38="","",J38-J19)</f>
        <v/>
      </c>
      <c r="K46" s="10">
        <f>IF(K38="","",K38-K19)</f>
        <v/>
      </c>
      <c r="L46" s="10">
        <f>IF(L38="","",L38-L19)</f>
        <v/>
      </c>
      <c r="M46" s="10">
        <f>IF(M38="","",M38-M19)</f>
        <v/>
      </c>
      <c r="N46" s="10">
        <f>SUM(B46:M46)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RESTAURANT BUDGET — ANNUAL SUMMARY</t>
        </is>
      </c>
      <c r="B1" s="5" t="inlineStr">
        <is>
          <t>USD / ratio</t>
        </is>
      </c>
    </row>
    <row r="2">
      <c r="A2" t="inlineStr">
        <is>
          <t>Budget sales</t>
        </is>
      </c>
      <c r="B2">
        <f>'12-Month Budget'!N7</f>
        <v/>
      </c>
    </row>
    <row r="3">
      <c r="A3" t="inlineStr">
        <is>
          <t>Actual sales (entered months)</t>
        </is>
      </c>
      <c r="B3">
        <f>'12-Month Budget'!N26</f>
        <v/>
      </c>
    </row>
    <row r="4">
      <c r="A4" t="inlineStr">
        <is>
          <t>Budget operating profit</t>
        </is>
      </c>
      <c r="B4">
        <f>'12-Month Budget'!N19</f>
        <v/>
      </c>
    </row>
    <row r="5">
      <c r="A5" t="inlineStr">
        <is>
          <t>Actual operating profit (entered months)</t>
        </is>
      </c>
      <c r="B5">
        <f>'12-Month Budget'!N38</f>
        <v/>
      </c>
    </row>
    <row r="6">
      <c r="A6" t="inlineStr">
        <is>
          <t>Operating profit variance (entered months)</t>
        </is>
      </c>
      <c r="B6">
        <f>'12-Month Budget'!N46</f>
        <v/>
      </c>
    </row>
    <row r="7">
      <c r="A7" t="inlineStr">
        <is>
          <t>Budget contribution margin</t>
        </is>
      </c>
      <c r="B7">
        <f>'12-Month Budget'!N20</f>
        <v/>
      </c>
    </row>
    <row r="8">
      <c r="A8" t="inlineStr">
        <is>
          <t>Actual contribution margin</t>
        </is>
      </c>
      <c r="B8">
        <f>'12-Month Budget'!N39</f>
        <v/>
      </c>
    </row>
    <row r="11">
      <c r="A11" t="inlineStr">
        <is>
          <t>Month</t>
        </is>
      </c>
      <c r="B11" t="inlineStr">
        <is>
          <t>Budget profit</t>
        </is>
      </c>
      <c r="C11" t="inlineStr">
        <is>
          <t>Actual profit</t>
        </is>
      </c>
      <c r="D11" t="inlineStr">
        <is>
          <t>Variance</t>
        </is>
      </c>
    </row>
    <row r="12">
      <c r="A12" t="inlineStr">
        <is>
          <t>Jan</t>
        </is>
      </c>
      <c r="B12">
        <f>'12-Month Budget'!B19</f>
        <v/>
      </c>
      <c r="C12">
        <f>'12-Month Budget'!B38</f>
        <v/>
      </c>
      <c r="D12">
        <f>'12-Month Budget'!B46</f>
        <v/>
      </c>
    </row>
    <row r="13">
      <c r="A13" t="inlineStr">
        <is>
          <t>Feb</t>
        </is>
      </c>
      <c r="B13">
        <f>'12-Month Budget'!C19</f>
        <v/>
      </c>
      <c r="C13">
        <f>'12-Month Budget'!C38</f>
        <v/>
      </c>
      <c r="D13">
        <f>'12-Month Budget'!C46</f>
        <v/>
      </c>
    </row>
    <row r="14">
      <c r="A14" t="inlineStr">
        <is>
          <t>Mar</t>
        </is>
      </c>
      <c r="B14">
        <f>'12-Month Budget'!D19</f>
        <v/>
      </c>
      <c r="C14">
        <f>'12-Month Budget'!D38</f>
        <v/>
      </c>
      <c r="D14">
        <f>'12-Month Budget'!D46</f>
        <v/>
      </c>
    </row>
    <row r="15">
      <c r="A15" t="inlineStr">
        <is>
          <t>Apr</t>
        </is>
      </c>
      <c r="B15">
        <f>'12-Month Budget'!E19</f>
        <v/>
      </c>
      <c r="C15">
        <f>'12-Month Budget'!E38</f>
        <v/>
      </c>
      <c r="D15">
        <f>'12-Month Budget'!E46</f>
        <v/>
      </c>
    </row>
    <row r="16">
      <c r="A16" t="inlineStr">
        <is>
          <t>May</t>
        </is>
      </c>
      <c r="B16">
        <f>'12-Month Budget'!F19</f>
        <v/>
      </c>
      <c r="C16">
        <f>'12-Month Budget'!F38</f>
        <v/>
      </c>
      <c r="D16">
        <f>'12-Month Budget'!F46</f>
        <v/>
      </c>
    </row>
    <row r="17">
      <c r="A17" t="inlineStr">
        <is>
          <t>Jun</t>
        </is>
      </c>
      <c r="B17">
        <f>'12-Month Budget'!G19</f>
        <v/>
      </c>
      <c r="C17">
        <f>'12-Month Budget'!G38</f>
        <v/>
      </c>
      <c r="D17">
        <f>'12-Month Budget'!G46</f>
        <v/>
      </c>
    </row>
    <row r="18">
      <c r="A18" t="inlineStr">
        <is>
          <t>Jul</t>
        </is>
      </c>
      <c r="B18">
        <f>'12-Month Budget'!H19</f>
        <v/>
      </c>
      <c r="C18">
        <f>'12-Month Budget'!H38</f>
        <v/>
      </c>
      <c r="D18">
        <f>'12-Month Budget'!H46</f>
        <v/>
      </c>
    </row>
    <row r="19">
      <c r="A19" t="inlineStr">
        <is>
          <t>Aug</t>
        </is>
      </c>
      <c r="B19">
        <f>'12-Month Budget'!I19</f>
        <v/>
      </c>
      <c r="C19">
        <f>'12-Month Budget'!I38</f>
        <v/>
      </c>
      <c r="D19">
        <f>'12-Month Budget'!I46</f>
        <v/>
      </c>
    </row>
    <row r="20">
      <c r="A20" t="inlineStr">
        <is>
          <t>Sep</t>
        </is>
      </c>
      <c r="B20">
        <f>'12-Month Budget'!J19</f>
        <v/>
      </c>
      <c r="C20">
        <f>'12-Month Budget'!J38</f>
        <v/>
      </c>
      <c r="D20">
        <f>'12-Month Budget'!J46</f>
        <v/>
      </c>
    </row>
    <row r="21">
      <c r="A21" t="inlineStr">
        <is>
          <t>Oct</t>
        </is>
      </c>
      <c r="B21">
        <f>'12-Month Budget'!K19</f>
        <v/>
      </c>
      <c r="C21">
        <f>'12-Month Budget'!K38</f>
        <v/>
      </c>
      <c r="D21">
        <f>'12-Month Budget'!K46</f>
        <v/>
      </c>
    </row>
    <row r="22">
      <c r="A22" t="inlineStr">
        <is>
          <t>Nov</t>
        </is>
      </c>
      <c r="B22">
        <f>'12-Month Budget'!L19</f>
        <v/>
      </c>
      <c r="C22">
        <f>'12-Month Budget'!L38</f>
        <v/>
      </c>
      <c r="D22">
        <f>'12-Month Budget'!L46</f>
        <v/>
      </c>
    </row>
    <row r="23">
      <c r="A23" t="inlineStr">
        <is>
          <t>Dec</t>
        </is>
      </c>
      <c r="B23">
        <f>'12-Month Budget'!M19</f>
        <v/>
      </c>
      <c r="C23">
        <f>'12-Month Budget'!M38</f>
        <v/>
      </c>
      <c r="D23">
        <f>'12-Month Budget'!M46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2026-10-31T05:27:58Z</dcterms:created>
  <dcterms:modified xsi:type="dcterms:W3CDTF">2026-10-31T05:27:58Z</dcterms:modified>
</cp:coreProperties>
</file>